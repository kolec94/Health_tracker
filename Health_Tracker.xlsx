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2.xml" ContentType="application/vnd.ms-office.chart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style1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ily Log" sheetId="2" state="visible" r:id="rId4"/>
    <sheet name="Quick Entry" sheetId="3" state="visible" r:id="rId5"/>
    <sheet name="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<sst xmlns="http://schemas.openxmlformats.org/spreadsheetml/2006/main" count="85" uniqueCount="72">
  <si>
    <t xml:space="preserve">Health Tracker</t>
  </si>
  <si>
    <t xml:space="preserve">Daily log of carbs, protein, weight, and fasting blood sugar</t>
  </si>
  <si>
    <t xml:space="preserve">How to use</t>
  </si>
  <si>
    <t xml:space="preserve">1. Daily Log tab</t>
  </si>
  <si>
    <t xml:space="preserve">Enter one row per day. Fill in date, morning weight, fasting blood sugar, and the carbs/protein for each meal. Daily totals calculate automatically.</t>
  </si>
  <si>
    <t xml:space="preserve">2. Summary tab</t>
  </si>
  <si>
    <t xml:space="preserve">Auto-updating weekly averages and trend charts pull straight from the Daily Log — nothing to enter here.</t>
  </si>
  <si>
    <t xml:space="preserve">3. Quick Entry tab</t>
  </si>
  <si>
    <t xml:space="preserve">Simple form-style layout if you want to enter just today's data without scrolling. Click 'Add to Log' instructions at top.</t>
  </si>
  <si>
    <t xml:space="preserve">Tips</t>
  </si>
  <si>
    <t xml:space="preserve">• Fasting BG</t>
  </si>
  <si>
    <t xml:space="preserve">Take first thing in the morning before eating or drinking anything besides water.</t>
  </si>
  <si>
    <t xml:space="preserve">• Weight</t>
  </si>
  <si>
    <t xml:space="preserve">Weigh at the same time each day (morning, after bathroom, before food) for the most consistent trend.</t>
  </si>
  <si>
    <t xml:space="preserve">• Snacks column</t>
  </si>
  <si>
    <t xml:space="preserve">Combine all snacks for the day into a single carbs / protein number.</t>
  </si>
  <si>
    <t xml:space="preserve">• Empty meals</t>
  </si>
  <si>
    <t xml:space="preserve">Leave a meal blank if you skipped it — totals will still work.</t>
  </si>
  <si>
    <t xml:space="preserve">Color key</t>
  </si>
  <si>
    <t xml:space="preserve">Light yellow</t>
  </si>
  <si>
    <t xml:space="preserve">Breakfast columns</t>
  </si>
  <si>
    <t xml:space="preserve">Light green</t>
  </si>
  <si>
    <t xml:space="preserve">Lunch columns</t>
  </si>
  <si>
    <t xml:space="preserve">Light orange</t>
  </si>
  <si>
    <t xml:space="preserve">Dinner columns</t>
  </si>
  <si>
    <t xml:space="preserve">Light gray</t>
  </si>
  <si>
    <t xml:space="preserve">Snacks columns</t>
  </si>
  <si>
    <t xml:space="preserve">Light blue</t>
  </si>
  <si>
    <t xml:space="preserve">Daily totals (auto-calculated)</t>
  </si>
  <si>
    <t xml:space="preserve">Daily Health Log</t>
  </si>
  <si>
    <t xml:space="preserve">Daily Vitals</t>
  </si>
  <si>
    <t xml:space="preserve">Breakfast</t>
  </si>
  <si>
    <t xml:space="preserve">Lunch</t>
  </si>
  <si>
    <t xml:space="preserve">Dinner</t>
  </si>
  <si>
    <t xml:space="preserve">Snacks</t>
  </si>
  <si>
    <t xml:space="preserve">Daily Totals</t>
  </si>
  <si>
    <t xml:space="preserve">Notes</t>
  </si>
  <si>
    <t xml:space="preserve">Date</t>
  </si>
  <si>
    <t xml:space="preserve">Weight (lbs)</t>
  </si>
  <si>
    <t xml:space="preserve">Fasting BG (mg/dL)</t>
  </si>
  <si>
    <t xml:space="preserve">Carbs (g)</t>
  </si>
  <si>
    <t xml:space="preserve">Protein (g)</t>
  </si>
  <si>
    <t xml:space="preserve">Total Carbs (g)</t>
  </si>
  <si>
    <t xml:space="preserve">Total Protein (g)</t>
  </si>
  <si>
    <t xml:space="preserve">Meals / Notes</t>
  </si>
  <si>
    <t xml:space="preserve">Activity / Mood</t>
  </si>
  <si>
    <t xml:space="preserve">Quick Entry — today's numbers</t>
  </si>
  <si>
    <t xml:space="preserve">Fill in the fields below, then copy the row into the Daily Log tab. (One day at a time.)</t>
  </si>
  <si>
    <t xml:space="preserve">How to copy into Daily Log:
1. Fill in the fields at left.
2. Find today's date row in the Daily Log tab.
3. Copy each value across (Weight, Fasting BG, then Carbs/Protein for each meal).
4. Daily totals there will recalculate automatically.</t>
  </si>
  <si>
    <t xml:space="preserve">Breakfast — carbs (g)</t>
  </si>
  <si>
    <t xml:space="preserve">Breakfast — protein (g)</t>
  </si>
  <si>
    <t xml:space="preserve">Lunch — carbs (g)</t>
  </si>
  <si>
    <t xml:space="preserve">Lunch — protein (g)</t>
  </si>
  <si>
    <t xml:space="preserve">Dinner — carbs (g)</t>
  </si>
  <si>
    <t xml:space="preserve">Dinner — protein (g)</t>
  </si>
  <si>
    <t xml:space="preserve">Snacks — carbs (g)</t>
  </si>
  <si>
    <t xml:space="preserve">Snacks — protein (g)</t>
  </si>
  <si>
    <t xml:space="preserve">Total carbs today (g)</t>
  </si>
  <si>
    <t xml:space="preserve">Total protein today (g)</t>
  </si>
  <si>
    <t xml:space="preserve">Summary &amp; Trends</t>
  </si>
  <si>
    <t xml:space="preserve">Overall (last 90 days)</t>
  </si>
  <si>
    <t xml:space="preserve">Weekly averages</t>
  </si>
  <si>
    <t xml:space="preserve">Days logged</t>
  </si>
  <si>
    <t xml:space="preserve">Week starting</t>
  </si>
  <si>
    <t xml:space="preserve">Avg weight</t>
  </si>
  <si>
    <t xml:space="preserve">Avg fasting BG</t>
  </si>
  <si>
    <t xml:space="preserve">Avg carbs/day</t>
  </si>
  <si>
    <t xml:space="preserve">Avg protein/day</t>
  </si>
  <si>
    <t xml:space="preserve">Latest weight</t>
  </si>
  <si>
    <t xml:space="preserve">Weight change</t>
  </si>
  <si>
    <t xml:space="preserve">Avg daily carbs</t>
  </si>
  <si>
    <t xml:space="preserve">Avg daily protein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</si>
</sst>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&quot;, &quot;mmm\ d"/>
    <numFmt numFmtId="166" formatCode="0.0"/>
    <numFmt numFmtId="167" formatCode="0"/>
    <numFmt numFmtId="168" formatCode="@"/>
    <numFmt numFmtId="169" formatCode="mmm\ d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D9E1F2"/>
        <bgColor rgb="FFD9D9D9"/>
      </patternFill>
    </fill>
    <fill>
      <patternFill patternType="solid">
        <fgColor rgb="FF1F4E78"/>
        <bgColor rgb="FF003366"/>
      </patternFill>
    </fill>
    <fill>
      <patternFill patternType="solid">
        <fgColor rgb="FFBF8F00"/>
        <bgColor rgb="FFC65911"/>
      </patternFill>
    </fill>
    <fill>
      <patternFill patternType="solid">
        <fgColor rgb="FF548235"/>
        <bgColor rgb="FF339966"/>
      </patternFill>
    </fill>
    <fill>
      <patternFill patternType="solid">
        <fgColor rgb="FFC65911"/>
        <bgColor rgb="FF9C5700"/>
      </patternFill>
    </fill>
    <fill>
      <patternFill patternType="solid">
        <fgColor rgb="FF595959"/>
        <bgColor rgb="FF404040"/>
      </patternFill>
    </fill>
    <fill>
      <patternFill patternType="solid">
        <fgColor rgb="FF2E75B6"/>
        <bgColor rgb="FF4672A8"/>
      </patternFill>
    </fill>
    <fill>
      <patternFill patternType="solid">
        <fgColor rgb="FF404040"/>
        <bgColor rgb="FF333300"/>
      </patternFill>
    </fill>
    <fill>
      <patternFill patternType="solid">
        <fgColor rgb="FFFFFFFF"/>
        <bgColor rgb="FFF9F9F9"/>
      </patternFill>
    </fill>
    <fill>
      <patternFill patternType="solid">
        <fgColor rgb="FFF7F9FC"/>
        <bgColor rgb="FFF9F9F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7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7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9F9F9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78787"/>
      <rgbColor rgb="FF93A9CE"/>
      <rgbColor rgb="FF595959"/>
      <rgbColor rgb="FFFFF2CC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D9E1F2"/>
      <rgbColor rgb="FFFCE4D6"/>
      <rgbColor rgb="FFF7F9FC"/>
      <rgbColor rgb="FFF8CBAD"/>
      <rgbColor rgb="FF2E75B6"/>
      <rgbColor rgb="FF33CCCC"/>
      <rgbColor rgb="FF99CC00"/>
      <rgbColor rgb="FFFFCC00"/>
      <rgbColor rgb="FFBF8F00"/>
      <rgbColor rgb="FFC65911"/>
      <rgbColor rgb="FF4672A8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Weight Trend (weekly avg)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Summary!E4</c:f>
              <c:strCache>
                <c:ptCount val="1"/>
                <c:pt idx="0">
                  <c:v>Avg weight</c:v>
                </c:pt>
              </c:strCache>
            </c:strRef>
          </c:tx>
          <c:spPr>
            <a:solidFill>
              <a:srgbClr val="1F4E78"/>
            </a:solidFill>
            <a:ln w="28080">
              <a:solidFill>
                <a:srgbClr val="1F4E7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Summary!$D$5:$D$17</c:f>
              <c:strCache>
                <c:ptCount val="13"/>
                <c:pt idx="0">
                  <c:v>Apr 27</c:v>
                </c:pt>
                <c:pt idx="1">
                  <c:v>May 4</c:v>
                </c:pt>
                <c:pt idx="2">
                  <c:v>May 11</c:v>
                </c:pt>
                <c:pt idx="3">
                  <c:v>May 18</c:v>
                </c:pt>
                <c:pt idx="4">
                  <c:v>May 25</c:v>
                </c:pt>
                <c:pt idx="5">
                  <c:v>Jun 1</c:v>
                </c:pt>
                <c:pt idx="6">
                  <c:v>Jun 8</c:v>
                </c:pt>
                <c:pt idx="7">
                  <c:v>Jun 15</c:v>
                </c:pt>
                <c:pt idx="8">
                  <c:v>Jun 22</c:v>
                </c:pt>
                <c:pt idx="9">
                  <c:v>Jun 29</c:v>
                </c:pt>
                <c:pt idx="10">
                  <c:v>Jul 6</c:v>
                </c:pt>
                <c:pt idx="11">
                  <c:v>Jul 13</c:v>
                </c:pt>
                <c:pt idx="12">
                  <c:v>Jul 20</c:v>
                </c:pt>
              </c:strCache>
            </c:strRef>
          </c:cat>
          <c:val>
            <c:numRef>
              <c:f>Summary!$E$5:$E$17</c:f>
              <c:numCache>
                <c:formatCode>General</c:formatCode>
                <c:ptCount val="13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035286"/>
        <c:axId val="42375088"/>
      </c:lineChart>
      <c:catAx>
        <c:axId val="590352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Week starting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mm\ 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375088"/>
        <c:crosses val="autoZero"/>
        <c:auto val="1"/>
        <c:lblAlgn val="ctr"/>
        <c:lblOffset val="100"/>
        <c:noMultiLvlLbl val="0"/>
      </c:catAx>
      <c:valAx>
        <c:axId val="423750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Weight (lbs)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0352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Fasting Blood Sugar (weekly avg)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Summary!F4</c:f>
              <c:strCache>
                <c:ptCount val="1"/>
                <c:pt idx="0">
                  <c:v>Avg fasting BG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Summary!$D$5:$D$17</c:f>
              <c:strCache>
                <c:ptCount val="13"/>
                <c:pt idx="0">
                  <c:v>Apr 27</c:v>
                </c:pt>
                <c:pt idx="1">
                  <c:v>May 4</c:v>
                </c:pt>
                <c:pt idx="2">
                  <c:v>May 11</c:v>
                </c:pt>
                <c:pt idx="3">
                  <c:v>May 18</c:v>
                </c:pt>
                <c:pt idx="4">
                  <c:v>May 25</c:v>
                </c:pt>
                <c:pt idx="5">
                  <c:v>Jun 1</c:v>
                </c:pt>
                <c:pt idx="6">
                  <c:v>Jun 8</c:v>
                </c:pt>
                <c:pt idx="7">
                  <c:v>Jun 15</c:v>
                </c:pt>
                <c:pt idx="8">
                  <c:v>Jun 22</c:v>
                </c:pt>
                <c:pt idx="9">
                  <c:v>Jun 29</c:v>
                </c:pt>
                <c:pt idx="10">
                  <c:v>Jul 6</c:v>
                </c:pt>
                <c:pt idx="11">
                  <c:v>Jul 13</c:v>
                </c:pt>
                <c:pt idx="12">
                  <c:v>Jul 20</c:v>
                </c:pt>
              </c:strCache>
            </c:strRef>
          </c:cat>
          <c:val>
            <c:numRef>
              <c:f>Summary!$F$5:$F$17</c:f>
              <c:numCache>
                <c:formatCode>General</c:formatCode>
                <c:ptCount val="13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454228"/>
        <c:axId val="85139818"/>
      </c:lineChart>
      <c:catAx>
        <c:axId val="884542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Week starting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mm\ 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139818"/>
        <c:crosses val="autoZero"/>
        <c:auto val="1"/>
        <c:lblAlgn val="ctr"/>
        <c:lblOffset val="100"/>
        <c:noMultiLvlLbl val="0"/>
      </c:catAx>
      <c:valAx>
        <c:axId val="851398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mg/dL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4542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Daily Carbs vs Protein (weekly avg)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Summary!G4</c:f>
              <c:strCache>
                <c:ptCount val="1"/>
                <c:pt idx="0">
                  <c:v>Avg carbs/day</c:v>
                </c:pt>
              </c:strCache>
            </c:strRef>
          </c:tx>
          <c:spPr>
            <a:solidFill>
              <a:srgbClr val="4672A8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Summary!$D$5:$D$17</c:f>
              <c:strCache>
                <c:ptCount val="13"/>
                <c:pt idx="0">
                  <c:v>Apr 27</c:v>
                </c:pt>
                <c:pt idx="1">
                  <c:v>May 4</c:v>
                </c:pt>
                <c:pt idx="2">
                  <c:v>May 11</c:v>
                </c:pt>
                <c:pt idx="3">
                  <c:v>May 18</c:v>
                </c:pt>
                <c:pt idx="4">
                  <c:v>May 25</c:v>
                </c:pt>
                <c:pt idx="5">
                  <c:v>Jun 1</c:v>
                </c:pt>
                <c:pt idx="6">
                  <c:v>Jun 8</c:v>
                </c:pt>
                <c:pt idx="7">
                  <c:v>Jun 15</c:v>
                </c:pt>
                <c:pt idx="8">
                  <c:v>Jun 22</c:v>
                </c:pt>
                <c:pt idx="9">
                  <c:v>Jun 29</c:v>
                </c:pt>
                <c:pt idx="10">
                  <c:v>Jul 6</c:v>
                </c:pt>
                <c:pt idx="11">
                  <c:v>Jul 13</c:v>
                </c:pt>
                <c:pt idx="12">
                  <c:v>Jul 20</c:v>
                </c:pt>
              </c:strCache>
            </c:strRef>
          </c:cat>
          <c:val>
            <c:numRef>
              <c:f>Summary!$G$5:$G$17</c:f>
              <c:numCache>
                <c:formatCode>General</c:formatCode>
                <c:ptCount val="13"/>
              </c:numCache>
            </c:numRef>
          </c:val>
        </c:ser>
        <c:ser>
          <c:idx val="1"/>
          <c:order val="1"/>
          <c:tx>
            <c:strRef>
              <c:f>Summary!H4</c:f>
              <c:strCache>
                <c:ptCount val="1"/>
                <c:pt idx="0">
                  <c:v>Avg protein/day</c:v>
                </c:pt>
              </c:strCache>
            </c:strRef>
          </c:tx>
          <c:spPr>
            <a:solidFill>
              <a:srgbClr val="93A9CE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Summary!$D$5:$D$17</c:f>
              <c:strCache>
                <c:ptCount val="13"/>
                <c:pt idx="0">
                  <c:v>Apr 27</c:v>
                </c:pt>
                <c:pt idx="1">
                  <c:v>May 4</c:v>
                </c:pt>
                <c:pt idx="2">
                  <c:v>May 11</c:v>
                </c:pt>
                <c:pt idx="3">
                  <c:v>May 18</c:v>
                </c:pt>
                <c:pt idx="4">
                  <c:v>May 25</c:v>
                </c:pt>
                <c:pt idx="5">
                  <c:v>Jun 1</c:v>
                </c:pt>
                <c:pt idx="6">
                  <c:v>Jun 8</c:v>
                </c:pt>
                <c:pt idx="7">
                  <c:v>Jun 15</c:v>
                </c:pt>
                <c:pt idx="8">
                  <c:v>Jun 22</c:v>
                </c:pt>
                <c:pt idx="9">
                  <c:v>Jun 29</c:v>
                </c:pt>
                <c:pt idx="10">
                  <c:v>Jul 6</c:v>
                </c:pt>
                <c:pt idx="11">
                  <c:v>Jul 13</c:v>
                </c:pt>
                <c:pt idx="12">
                  <c:v>Jul 20</c:v>
                </c:pt>
              </c:strCache>
            </c:strRef>
          </c:cat>
          <c:val>
            <c:numRef>
              <c:f>Summary!$H$5:$H$17</c:f>
              <c:numCache>
                <c:formatCode>General</c:formatCode>
                <c:ptCount val="13"/>
              </c:numCache>
            </c:numRef>
          </c:val>
        </c:ser>
        <c:gapWidth val="150"/>
        <c:overlap val="0"/>
        <c:axId val="9635770"/>
        <c:axId val="75814365"/>
      </c:barChart>
      <c:catAx>
        <c:axId val="96357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Week starting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mm\ 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814365"/>
        <c:crosses val="autoZero"/>
        <c:auto val="1"/>
        <c:lblAlgn val="ctr"/>
        <c:lblOffset val="100"/>
        <c:noMultiLvlLbl val="0"/>
      </c:catAx>
      <c:valAx>
        <c:axId val="758143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grams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35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20</xdr:row>
      <xdr:rowOff>0</xdr:rowOff>
    </xdr:from>
    <xdr:to>
      <xdr:col>5</xdr:col>
      <xdr:colOff>777240</xdr:colOff>
      <xdr:row>35</xdr:row>
      <xdr:rowOff>21240</xdr:rowOff>
    </xdr:to>
    <xdr:graphicFrame>
      <xdr:nvGraphicFramePr>
        <xdr:cNvPr id="1" name="Chart 1"/>
        <xdr:cNvGraphicFramePr/>
      </xdr:nvGraphicFramePr>
      <xdr:xfrm>
        <a:off x="0" y="4114800"/>
        <a:ext cx="575892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37</xdr:row>
      <xdr:rowOff>0</xdr:rowOff>
    </xdr:from>
    <xdr:to>
      <xdr:col>5</xdr:col>
      <xdr:colOff>777240</xdr:colOff>
      <xdr:row>52</xdr:row>
      <xdr:rowOff>21600</xdr:rowOff>
    </xdr:to>
    <xdr:graphicFrame>
      <xdr:nvGraphicFramePr>
        <xdr:cNvPr id="2" name="Chart 2"/>
        <xdr:cNvGraphicFramePr/>
      </xdr:nvGraphicFramePr>
      <xdr:xfrm>
        <a:off x="0" y="7353360"/>
        <a:ext cx="575892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54</xdr:row>
      <xdr:rowOff>0</xdr:rowOff>
    </xdr:from>
    <xdr:to>
      <xdr:col>5</xdr:col>
      <xdr:colOff>777240</xdr:colOff>
      <xdr:row>69</xdr:row>
      <xdr:rowOff>21600</xdr:rowOff>
    </xdr:to>
    <xdr:graphicFrame>
      <xdr:nvGraphicFramePr>
        <xdr:cNvPr id="3" name="Chart 3"/>
        <xdr:cNvGraphicFramePr/>
      </xdr:nvGraphicFramePr>
      <xdr:xfrm>
        <a:off x="0" y="10591920"/>
        <a:ext cx="575892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2"/>
    <col collapsed="false" customWidth="true" hidden="false" outlineLevel="0" max="3" min="3" style="1" width="90"/>
  </cols>
  <sheetData>
    <row r="2" customFormat="false" ht="21.7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15.75" hidden="false" customHeight="true" outlineLevel="0" collapsed="false">
      <c r="B5" s="4" t="s">
        <v>2</v>
      </c>
      <c r="C5" s="5"/>
    </row>
    <row r="6" customFormat="false" ht="23.25" hidden="false" customHeight="true" outlineLevel="0" collapsed="false">
      <c r="B6" s="6" t="s">
        <v>3</v>
      </c>
      <c r="C6" s="5" t="s">
        <v>4</v>
      </c>
    </row>
    <row r="7" customFormat="false" ht="15" hidden="false" customHeight="true" outlineLevel="0" collapsed="false">
      <c r="B7" s="6" t="s">
        <v>5</v>
      </c>
      <c r="C7" s="5" t="s">
        <v>6</v>
      </c>
    </row>
    <row r="8" customFormat="false" ht="23.25" hidden="false" customHeight="true" outlineLevel="0" collapsed="false">
      <c r="B8" s="6" t="s">
        <v>7</v>
      </c>
      <c r="C8" s="5" t="s">
        <v>8</v>
      </c>
    </row>
    <row r="9" customFormat="false" ht="15" hidden="false" customHeight="true" outlineLevel="0" collapsed="false">
      <c r="B9" s="7"/>
      <c r="C9" s="5"/>
    </row>
    <row r="10" customFormat="false" ht="15.75" hidden="false" customHeight="true" outlineLevel="0" collapsed="false">
      <c r="B10" s="4" t="s">
        <v>9</v>
      </c>
      <c r="C10" s="5"/>
    </row>
    <row r="11" customFormat="false" ht="15" hidden="false" customHeight="true" outlineLevel="0" collapsed="false">
      <c r="B11" s="6" t="s">
        <v>10</v>
      </c>
      <c r="C11" s="5" t="s">
        <v>11</v>
      </c>
    </row>
    <row r="12" customFormat="false" ht="15" hidden="false" customHeight="true" outlineLevel="0" collapsed="false">
      <c r="B12" s="6" t="s">
        <v>12</v>
      </c>
      <c r="C12" s="5" t="s">
        <v>13</v>
      </c>
    </row>
    <row r="13" customFormat="false" ht="15" hidden="false" customHeight="true" outlineLevel="0" collapsed="false">
      <c r="B13" s="6" t="s">
        <v>14</v>
      </c>
      <c r="C13" s="5" t="s">
        <v>15</v>
      </c>
    </row>
    <row r="14" customFormat="false" ht="15" hidden="false" customHeight="true" outlineLevel="0" collapsed="false">
      <c r="B14" s="6" t="s">
        <v>16</v>
      </c>
      <c r="C14" s="5" t="s">
        <v>17</v>
      </c>
    </row>
    <row r="15" customFormat="false" ht="15" hidden="false" customHeight="true" outlineLevel="0" collapsed="false">
      <c r="B15" s="7"/>
      <c r="C15" s="5"/>
    </row>
    <row r="16" customFormat="false" ht="15.75" hidden="false" customHeight="true" outlineLevel="0" collapsed="false">
      <c r="B16" s="4" t="s">
        <v>18</v>
      </c>
      <c r="C16" s="5"/>
    </row>
    <row r="17" customFormat="false" ht="15" hidden="false" customHeight="true" outlineLevel="0" collapsed="false">
      <c r="B17" s="8" t="s">
        <v>19</v>
      </c>
      <c r="C17" s="5" t="s">
        <v>20</v>
      </c>
    </row>
    <row r="18" customFormat="false" ht="15" hidden="false" customHeight="true" outlineLevel="0" collapsed="false">
      <c r="B18" s="9" t="s">
        <v>21</v>
      </c>
      <c r="C18" s="5" t="s">
        <v>22</v>
      </c>
    </row>
    <row r="19" customFormat="false" ht="15" hidden="false" customHeight="true" outlineLevel="0" collapsed="false">
      <c r="B19" s="10" t="s">
        <v>23</v>
      </c>
      <c r="C19" s="5" t="s">
        <v>24</v>
      </c>
    </row>
    <row r="20" customFormat="false" ht="15" hidden="false" customHeight="true" outlineLevel="0" collapsed="false">
      <c r="B20" s="11" t="s">
        <v>25</v>
      </c>
      <c r="C20" s="5" t="s">
        <v>26</v>
      </c>
    </row>
    <row r="21" customFormat="false" ht="15" hidden="false" customHeight="true" outlineLevel="0" collapsed="false">
      <c r="B21" s="12" t="s">
        <v>27</v>
      </c>
      <c r="C21" s="5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11"/>
    <col collapsed="false" customWidth="true" hidden="false" outlineLevel="0" max="8" min="8" style="1" width="10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11"/>
    <col collapsed="false" customWidth="true" hidden="false" outlineLevel="0" max="13" min="12" style="1" width="12"/>
    <col collapsed="false" customWidth="true" hidden="false" outlineLevel="0" max="14" min="14" style="1" width="28"/>
    <col collapsed="false" customWidth="true" hidden="false" outlineLevel="0" max="15" min="15" style="1" width="22"/>
  </cols>
  <sheetData>
    <row r="1" customFormat="false" ht="25.5" hidden="false" customHeight="true" outlineLevel="0" collapsed="false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customFormat="false" ht="21.75" hidden="false" customHeight="true" outlineLevel="0" collapsed="false">
      <c r="A2" s="14" t="s">
        <v>30</v>
      </c>
      <c r="B2" s="14"/>
      <c r="C2" s="14"/>
      <c r="D2" s="15" t="s">
        <v>31</v>
      </c>
      <c r="E2" s="15"/>
      <c r="F2" s="16" t="s">
        <v>32</v>
      </c>
      <c r="G2" s="16"/>
      <c r="H2" s="17" t="s">
        <v>33</v>
      </c>
      <c r="I2" s="17"/>
      <c r="J2" s="18" t="s">
        <v>34</v>
      </c>
      <c r="K2" s="18"/>
      <c r="L2" s="19" t="s">
        <v>35</v>
      </c>
      <c r="M2" s="19"/>
      <c r="N2" s="20" t="s">
        <v>36</v>
      </c>
      <c r="O2" s="20"/>
    </row>
    <row r="3" customFormat="false" ht="31.5" hidden="false" customHeight="true" outlineLevel="0" collapsed="false">
      <c r="A3" s="21" t="s">
        <v>37</v>
      </c>
      <c r="B3" s="21" t="s">
        <v>38</v>
      </c>
      <c r="C3" s="21" t="s">
        <v>39</v>
      </c>
      <c r="D3" s="21" t="s">
        <v>40</v>
      </c>
      <c r="E3" s="21" t="s">
        <v>41</v>
      </c>
      <c r="F3" s="21" t="s">
        <v>40</v>
      </c>
      <c r="G3" s="21" t="s">
        <v>41</v>
      </c>
      <c r="H3" s="21" t="s">
        <v>40</v>
      </c>
      <c r="I3" s="21" t="s">
        <v>41</v>
      </c>
      <c r="J3" s="21" t="s">
        <v>40</v>
      </c>
      <c r="K3" s="21" t="s">
        <v>41</v>
      </c>
      <c r="L3" s="21" t="s">
        <v>42</v>
      </c>
      <c r="M3" s="21" t="s">
        <v>43</v>
      </c>
      <c r="N3" s="21" t="s">
        <v>44</v>
      </c>
      <c r="O3" s="21" t="s">
        <v>45</v>
      </c>
    </row>
    <row r="4" customFormat="false" ht="18" hidden="false" customHeight="true" outlineLevel="0" collapsed="false">
      <c r="A4" s="22" t="n">
        <v>46145</v>
      </c>
      <c r="B4" s="23"/>
      <c r="C4" s="24"/>
      <c r="D4" s="25"/>
      <c r="E4" s="25"/>
      <c r="F4" s="26"/>
      <c r="G4" s="26"/>
      <c r="H4" s="27"/>
      <c r="I4" s="27"/>
      <c r="J4" s="28"/>
      <c r="K4" s="28"/>
      <c r="L4" s="29" t="str">
        <f aca="false">IF(SUM(D4,F4,H4,J4)=0,"",SUM(D4,F4,H4,J4))</f>
        <v/>
      </c>
      <c r="M4" s="29" t="str">
        <f aca="false">IF(SUM(E4,G4,I4,K4)=0,"",SUM(E4,G4,I4,K4))</f>
        <v/>
      </c>
      <c r="N4" s="30"/>
      <c r="O4" s="30"/>
    </row>
    <row r="5" customFormat="false" ht="18" hidden="false" customHeight="true" outlineLevel="0" collapsed="false">
      <c r="A5" s="31" t="n">
        <v>46146</v>
      </c>
      <c r="B5" s="32"/>
      <c r="C5" s="33"/>
      <c r="D5" s="25"/>
      <c r="E5" s="25"/>
      <c r="F5" s="26"/>
      <c r="G5" s="26"/>
      <c r="H5" s="27"/>
      <c r="I5" s="27"/>
      <c r="J5" s="28"/>
      <c r="K5" s="28"/>
      <c r="L5" s="29" t="str">
        <f aca="false">IF(SUM(D5,F5,H5,J5)=0,"",SUM(D5,F5,H5,J5))</f>
        <v/>
      </c>
      <c r="M5" s="29" t="str">
        <f aca="false">IF(SUM(E5,G5,I5,K5)=0,"",SUM(E5,G5,I5,K5))</f>
        <v/>
      </c>
      <c r="N5" s="34"/>
      <c r="O5" s="34"/>
    </row>
    <row r="6" customFormat="false" ht="18" hidden="false" customHeight="true" outlineLevel="0" collapsed="false">
      <c r="A6" s="22" t="n">
        <v>46147</v>
      </c>
      <c r="B6" s="23"/>
      <c r="C6" s="24"/>
      <c r="D6" s="25"/>
      <c r="E6" s="25"/>
      <c r="F6" s="26"/>
      <c r="G6" s="26"/>
      <c r="H6" s="27"/>
      <c r="I6" s="27"/>
      <c r="J6" s="28"/>
      <c r="K6" s="28"/>
      <c r="L6" s="29" t="str">
        <f aca="false">IF(SUM(D6,F6,H6,J6)=0,"",SUM(D6,F6,H6,J6))</f>
        <v/>
      </c>
      <c r="M6" s="29" t="str">
        <f aca="false">IF(SUM(E6,G6,I6,K6)=0,"",SUM(E6,G6,I6,K6))</f>
        <v/>
      </c>
      <c r="N6" s="30"/>
      <c r="O6" s="30"/>
    </row>
    <row r="7" customFormat="false" ht="18" hidden="false" customHeight="true" outlineLevel="0" collapsed="false">
      <c r="A7" s="31" t="n">
        <v>46148</v>
      </c>
      <c r="B7" s="32"/>
      <c r="C7" s="33"/>
      <c r="D7" s="25"/>
      <c r="E7" s="25"/>
      <c r="F7" s="26"/>
      <c r="G7" s="26"/>
      <c r="H7" s="27"/>
      <c r="I7" s="27"/>
      <c r="J7" s="28"/>
      <c r="K7" s="28"/>
      <c r="L7" s="29" t="str">
        <f aca="false">IF(SUM(D7,F7,H7,J7)=0,"",SUM(D7,F7,H7,J7))</f>
        <v/>
      </c>
      <c r="M7" s="29" t="str">
        <f aca="false">IF(SUM(E7,G7,I7,K7)=0,"",SUM(E7,G7,I7,K7))</f>
        <v/>
      </c>
      <c r="N7" s="34"/>
      <c r="O7" s="34"/>
    </row>
    <row r="8" customFormat="false" ht="18" hidden="false" customHeight="true" outlineLevel="0" collapsed="false">
      <c r="A8" s="22" t="n">
        <v>46149</v>
      </c>
      <c r="B8" s="23"/>
      <c r="C8" s="24"/>
      <c r="D8" s="25"/>
      <c r="E8" s="25"/>
      <c r="F8" s="26"/>
      <c r="G8" s="26"/>
      <c r="H8" s="27"/>
      <c r="I8" s="27"/>
      <c r="J8" s="28"/>
      <c r="K8" s="28"/>
      <c r="L8" s="29" t="str">
        <f aca="false">IF(SUM(D8,F8,H8,J8)=0,"",SUM(D8,F8,H8,J8))</f>
        <v/>
      </c>
      <c r="M8" s="29" t="str">
        <f aca="false">IF(SUM(E8,G8,I8,K8)=0,"",SUM(E8,G8,I8,K8))</f>
        <v/>
      </c>
      <c r="N8" s="30"/>
      <c r="O8" s="30"/>
    </row>
    <row r="9" customFormat="false" ht="18" hidden="false" customHeight="true" outlineLevel="0" collapsed="false">
      <c r="A9" s="31" t="n">
        <v>46150</v>
      </c>
      <c r="B9" s="32"/>
      <c r="C9" s="33"/>
      <c r="D9" s="25"/>
      <c r="E9" s="25"/>
      <c r="F9" s="26"/>
      <c r="G9" s="26"/>
      <c r="H9" s="27"/>
      <c r="I9" s="27"/>
      <c r="J9" s="28"/>
      <c r="K9" s="28"/>
      <c r="L9" s="29" t="str">
        <f aca="false">IF(SUM(D9,F9,H9,J9)=0,"",SUM(D9,F9,H9,J9))</f>
        <v/>
      </c>
      <c r="M9" s="29" t="str">
        <f aca="false">IF(SUM(E9,G9,I9,K9)=0,"",SUM(E9,G9,I9,K9))</f>
        <v/>
      </c>
      <c r="N9" s="34"/>
      <c r="O9" s="34"/>
    </row>
    <row r="10" customFormat="false" ht="18" hidden="false" customHeight="true" outlineLevel="0" collapsed="false">
      <c r="A10" s="22" t="n">
        <v>46151</v>
      </c>
      <c r="B10" s="23"/>
      <c r="C10" s="24"/>
      <c r="D10" s="25"/>
      <c r="E10" s="25"/>
      <c r="F10" s="26"/>
      <c r="G10" s="26"/>
      <c r="H10" s="27"/>
      <c r="I10" s="27"/>
      <c r="J10" s="28"/>
      <c r="K10" s="28"/>
      <c r="L10" s="29" t="str">
        <f aca="false">IF(SUM(D10,F10,H10,J10)=0,"",SUM(D10,F10,H10,J10))</f>
        <v/>
      </c>
      <c r="M10" s="29" t="str">
        <f aca="false">IF(SUM(E10,G10,I10,K10)=0,"",SUM(E10,G10,I10,K10))</f>
        <v/>
      </c>
      <c r="N10" s="30"/>
      <c r="O10" s="30"/>
    </row>
    <row r="11" customFormat="false" ht="18" hidden="false" customHeight="true" outlineLevel="0" collapsed="false">
      <c r="A11" s="31" t="n">
        <v>46152</v>
      </c>
      <c r="B11" s="32"/>
      <c r="C11" s="33"/>
      <c r="D11" s="25"/>
      <c r="E11" s="25"/>
      <c r="F11" s="26"/>
      <c r="G11" s="26"/>
      <c r="H11" s="27"/>
      <c r="I11" s="27"/>
      <c r="J11" s="28"/>
      <c r="K11" s="28"/>
      <c r="L11" s="29" t="str">
        <f aca="false">IF(SUM(D11,F11,H11,J11)=0,"",SUM(D11,F11,H11,J11))</f>
        <v/>
      </c>
      <c r="M11" s="29" t="str">
        <f aca="false">IF(SUM(E11,G11,I11,K11)=0,"",SUM(E11,G11,I11,K11))</f>
        <v/>
      </c>
      <c r="N11" s="34"/>
      <c r="O11" s="34"/>
    </row>
    <row r="12" customFormat="false" ht="18" hidden="false" customHeight="true" outlineLevel="0" collapsed="false">
      <c r="A12" s="22" t="n">
        <v>46153</v>
      </c>
      <c r="B12" s="23"/>
      <c r="C12" s="24"/>
      <c r="D12" s="25"/>
      <c r="E12" s="25"/>
      <c r="F12" s="26"/>
      <c r="G12" s="26"/>
      <c r="H12" s="27"/>
      <c r="I12" s="27"/>
      <c r="J12" s="28"/>
      <c r="K12" s="28"/>
      <c r="L12" s="29" t="str">
        <f aca="false">IF(SUM(D12,F12,H12,J12)=0,"",SUM(D12,F12,H12,J12))</f>
        <v/>
      </c>
      <c r="M12" s="29" t="str">
        <f aca="false">IF(SUM(E12,G12,I12,K12)=0,"",SUM(E12,G12,I12,K12))</f>
        <v/>
      </c>
      <c r="N12" s="30"/>
      <c r="O12" s="30"/>
    </row>
    <row r="13" customFormat="false" ht="18" hidden="false" customHeight="true" outlineLevel="0" collapsed="false">
      <c r="A13" s="31" t="n">
        <v>46154</v>
      </c>
      <c r="B13" s="32"/>
      <c r="C13" s="33"/>
      <c r="D13" s="25"/>
      <c r="E13" s="25"/>
      <c r="F13" s="26"/>
      <c r="G13" s="26"/>
      <c r="H13" s="27"/>
      <c r="I13" s="27"/>
      <c r="J13" s="28"/>
      <c r="K13" s="28"/>
      <c r="L13" s="29" t="str">
        <f aca="false">IF(SUM(D13,F13,H13,J13)=0,"",SUM(D13,F13,H13,J13))</f>
        <v/>
      </c>
      <c r="M13" s="29" t="str">
        <f aca="false">IF(SUM(E13,G13,I13,K13)=0,"",SUM(E13,G13,I13,K13))</f>
        <v/>
      </c>
      <c r="N13" s="34"/>
      <c r="O13" s="34"/>
    </row>
    <row r="14" customFormat="false" ht="18" hidden="false" customHeight="true" outlineLevel="0" collapsed="false">
      <c r="A14" s="22" t="n">
        <v>46155</v>
      </c>
      <c r="B14" s="23"/>
      <c r="C14" s="24"/>
      <c r="D14" s="25"/>
      <c r="E14" s="25"/>
      <c r="F14" s="26"/>
      <c r="G14" s="26"/>
      <c r="H14" s="27"/>
      <c r="I14" s="27"/>
      <c r="J14" s="28"/>
      <c r="K14" s="28"/>
      <c r="L14" s="29" t="str">
        <f aca="false">IF(SUM(D14,F14,H14,J14)=0,"",SUM(D14,F14,H14,J14))</f>
        <v/>
      </c>
      <c r="M14" s="29" t="str">
        <f aca="false">IF(SUM(E14,G14,I14,K14)=0,"",SUM(E14,G14,I14,K14))</f>
        <v/>
      </c>
      <c r="N14" s="30"/>
      <c r="O14" s="30"/>
    </row>
    <row r="15" customFormat="false" ht="18" hidden="false" customHeight="true" outlineLevel="0" collapsed="false">
      <c r="A15" s="31" t="n">
        <v>46156</v>
      </c>
      <c r="B15" s="32"/>
      <c r="C15" s="33"/>
      <c r="D15" s="25"/>
      <c r="E15" s="25"/>
      <c r="F15" s="26"/>
      <c r="G15" s="26"/>
      <c r="H15" s="27"/>
      <c r="I15" s="27"/>
      <c r="J15" s="28"/>
      <c r="K15" s="28"/>
      <c r="L15" s="29" t="str">
        <f aca="false">IF(SUM(D15,F15,H15,J15)=0,"",SUM(D15,F15,H15,J15))</f>
        <v/>
      </c>
      <c r="M15" s="29" t="str">
        <f aca="false">IF(SUM(E15,G15,I15,K15)=0,"",SUM(E15,G15,I15,K15))</f>
        <v/>
      </c>
      <c r="N15" s="34"/>
      <c r="O15" s="34"/>
    </row>
    <row r="16" customFormat="false" ht="18" hidden="false" customHeight="true" outlineLevel="0" collapsed="false">
      <c r="A16" s="22" t="n">
        <v>46157</v>
      </c>
      <c r="B16" s="23"/>
      <c r="C16" s="24"/>
      <c r="D16" s="25"/>
      <c r="E16" s="25"/>
      <c r="F16" s="26"/>
      <c r="G16" s="26"/>
      <c r="H16" s="27"/>
      <c r="I16" s="27"/>
      <c r="J16" s="28"/>
      <c r="K16" s="28"/>
      <c r="L16" s="29" t="str">
        <f aca="false">IF(SUM(D16,F16,H16,J16)=0,"",SUM(D16,F16,H16,J16))</f>
        <v/>
      </c>
      <c r="M16" s="29" t="str">
        <f aca="false">IF(SUM(E16,G16,I16,K16)=0,"",SUM(E16,G16,I16,K16))</f>
        <v/>
      </c>
      <c r="N16" s="30"/>
      <c r="O16" s="30"/>
    </row>
    <row r="17" customFormat="false" ht="18" hidden="false" customHeight="true" outlineLevel="0" collapsed="false">
      <c r="A17" s="31" t="n">
        <v>46158</v>
      </c>
      <c r="B17" s="32"/>
      <c r="C17" s="33"/>
      <c r="D17" s="25"/>
      <c r="E17" s="25"/>
      <c r="F17" s="26"/>
      <c r="G17" s="26"/>
      <c r="H17" s="27"/>
      <c r="I17" s="27"/>
      <c r="J17" s="28"/>
      <c r="K17" s="28"/>
      <c r="L17" s="29" t="str">
        <f aca="false">IF(SUM(D17,F17,H17,J17)=0,"",SUM(D17,F17,H17,J17))</f>
        <v/>
      </c>
      <c r="M17" s="29" t="str">
        <f aca="false">IF(SUM(E17,G17,I17,K17)=0,"",SUM(E17,G17,I17,K17))</f>
        <v/>
      </c>
      <c r="N17" s="34"/>
      <c r="O17" s="34"/>
    </row>
    <row r="18" customFormat="false" ht="18" hidden="false" customHeight="true" outlineLevel="0" collapsed="false">
      <c r="A18" s="22" t="n">
        <v>46159</v>
      </c>
      <c r="B18" s="23"/>
      <c r="C18" s="24"/>
      <c r="D18" s="25"/>
      <c r="E18" s="25"/>
      <c r="F18" s="26"/>
      <c r="G18" s="26"/>
      <c r="H18" s="27"/>
      <c r="I18" s="27"/>
      <c r="J18" s="28"/>
      <c r="K18" s="28"/>
      <c r="L18" s="29" t="str">
        <f aca="false">IF(SUM(D18,F18,H18,J18)=0,"",SUM(D18,F18,H18,J18))</f>
        <v/>
      </c>
      <c r="M18" s="29" t="str">
        <f aca="false">IF(SUM(E18,G18,I18,K18)=0,"",SUM(E18,G18,I18,K18))</f>
        <v/>
      </c>
      <c r="N18" s="30"/>
      <c r="O18" s="30"/>
    </row>
    <row r="19" customFormat="false" ht="18" hidden="false" customHeight="true" outlineLevel="0" collapsed="false">
      <c r="A19" s="31" t="n">
        <v>46160</v>
      </c>
      <c r="B19" s="32"/>
      <c r="C19" s="33"/>
      <c r="D19" s="25"/>
      <c r="E19" s="25"/>
      <c r="F19" s="26"/>
      <c r="G19" s="26"/>
      <c r="H19" s="27"/>
      <c r="I19" s="27"/>
      <c r="J19" s="28"/>
      <c r="K19" s="28"/>
      <c r="L19" s="29" t="str">
        <f aca="false">IF(SUM(D19,F19,H19,J19)=0,"",SUM(D19,F19,H19,J19))</f>
        <v/>
      </c>
      <c r="M19" s="29" t="str">
        <f aca="false">IF(SUM(E19,G19,I19,K19)=0,"",SUM(E19,G19,I19,K19))</f>
        <v/>
      </c>
      <c r="N19" s="34"/>
      <c r="O19" s="34"/>
    </row>
    <row r="20" customFormat="false" ht="18" hidden="false" customHeight="true" outlineLevel="0" collapsed="false">
      <c r="A20" s="22" t="n">
        <v>46161</v>
      </c>
      <c r="B20" s="23"/>
      <c r="C20" s="24"/>
      <c r="D20" s="25"/>
      <c r="E20" s="25"/>
      <c r="F20" s="26"/>
      <c r="G20" s="26"/>
      <c r="H20" s="27"/>
      <c r="I20" s="27"/>
      <c r="J20" s="28"/>
      <c r="K20" s="28"/>
      <c r="L20" s="29" t="str">
        <f aca="false">IF(SUM(D20,F20,H20,J20)=0,"",SUM(D20,F20,H20,J20))</f>
        <v/>
      </c>
      <c r="M20" s="29" t="str">
        <f aca="false">IF(SUM(E20,G20,I20,K20)=0,"",SUM(E20,G20,I20,K20))</f>
        <v/>
      </c>
      <c r="N20" s="30"/>
      <c r="O20" s="30"/>
    </row>
    <row r="21" customFormat="false" ht="18" hidden="false" customHeight="true" outlineLevel="0" collapsed="false">
      <c r="A21" s="31" t="n">
        <v>46162</v>
      </c>
      <c r="B21" s="32"/>
      <c r="C21" s="33"/>
      <c r="D21" s="25"/>
      <c r="E21" s="25"/>
      <c r="F21" s="26"/>
      <c r="G21" s="26"/>
      <c r="H21" s="27"/>
      <c r="I21" s="27"/>
      <c r="J21" s="28"/>
      <c r="K21" s="28"/>
      <c r="L21" s="29" t="str">
        <f aca="false">IF(SUM(D21,F21,H21,J21)=0,"",SUM(D21,F21,H21,J21))</f>
        <v/>
      </c>
      <c r="M21" s="29" t="str">
        <f aca="false">IF(SUM(E21,G21,I21,K21)=0,"",SUM(E21,G21,I21,K21))</f>
        <v/>
      </c>
      <c r="N21" s="34"/>
      <c r="O21" s="34"/>
    </row>
    <row r="22" customFormat="false" ht="18" hidden="false" customHeight="true" outlineLevel="0" collapsed="false">
      <c r="A22" s="22" t="n">
        <v>46163</v>
      </c>
      <c r="B22" s="23"/>
      <c r="C22" s="24"/>
      <c r="D22" s="25"/>
      <c r="E22" s="25"/>
      <c r="F22" s="26"/>
      <c r="G22" s="26"/>
      <c r="H22" s="27"/>
      <c r="I22" s="27"/>
      <c r="J22" s="28"/>
      <c r="K22" s="28"/>
      <c r="L22" s="29" t="str">
        <f aca="false">IF(SUM(D22,F22,H22,J22)=0,"",SUM(D22,F22,H22,J22))</f>
        <v/>
      </c>
      <c r="M22" s="29" t="str">
        <f aca="false">IF(SUM(E22,G22,I22,K22)=0,"",SUM(E22,G22,I22,K22))</f>
        <v/>
      </c>
      <c r="N22" s="30"/>
      <c r="O22" s="30"/>
    </row>
    <row r="23" customFormat="false" ht="18" hidden="false" customHeight="true" outlineLevel="0" collapsed="false">
      <c r="A23" s="31" t="n">
        <v>46164</v>
      </c>
      <c r="B23" s="32"/>
      <c r="C23" s="33"/>
      <c r="D23" s="25"/>
      <c r="E23" s="25"/>
      <c r="F23" s="26"/>
      <c r="G23" s="26"/>
      <c r="H23" s="27"/>
      <c r="I23" s="27"/>
      <c r="J23" s="28"/>
      <c r="K23" s="28"/>
      <c r="L23" s="29" t="str">
        <f aca="false">IF(SUM(D23,F23,H23,J23)=0,"",SUM(D23,F23,H23,J23))</f>
        <v/>
      </c>
      <c r="M23" s="29" t="str">
        <f aca="false">IF(SUM(E23,G23,I23,K23)=0,"",SUM(E23,G23,I23,K23))</f>
        <v/>
      </c>
      <c r="N23" s="34"/>
      <c r="O23" s="34"/>
    </row>
    <row r="24" customFormat="false" ht="18" hidden="false" customHeight="true" outlineLevel="0" collapsed="false">
      <c r="A24" s="22" t="n">
        <v>46165</v>
      </c>
      <c r="B24" s="23"/>
      <c r="C24" s="24"/>
      <c r="D24" s="25"/>
      <c r="E24" s="25"/>
      <c r="F24" s="26"/>
      <c r="G24" s="26"/>
      <c r="H24" s="27"/>
      <c r="I24" s="27"/>
      <c r="J24" s="28"/>
      <c r="K24" s="28"/>
      <c r="L24" s="29" t="str">
        <f aca="false">IF(SUM(D24,F24,H24,J24)=0,"",SUM(D24,F24,H24,J24))</f>
        <v/>
      </c>
      <c r="M24" s="29" t="str">
        <f aca="false">IF(SUM(E24,G24,I24,K24)=0,"",SUM(E24,G24,I24,K24))</f>
        <v/>
      </c>
      <c r="N24" s="30"/>
      <c r="O24" s="30"/>
    </row>
    <row r="25" customFormat="false" ht="18" hidden="false" customHeight="true" outlineLevel="0" collapsed="false">
      <c r="A25" s="31" t="n">
        <v>46166</v>
      </c>
      <c r="B25" s="32"/>
      <c r="C25" s="33"/>
      <c r="D25" s="25"/>
      <c r="E25" s="25"/>
      <c r="F25" s="26"/>
      <c r="G25" s="26"/>
      <c r="H25" s="27"/>
      <c r="I25" s="27"/>
      <c r="J25" s="28"/>
      <c r="K25" s="28"/>
      <c r="L25" s="29" t="str">
        <f aca="false">IF(SUM(D25,F25,H25,J25)=0,"",SUM(D25,F25,H25,J25))</f>
        <v/>
      </c>
      <c r="M25" s="29" t="str">
        <f aca="false">IF(SUM(E25,G25,I25,K25)=0,"",SUM(E25,G25,I25,K25))</f>
        <v/>
      </c>
      <c r="N25" s="34"/>
      <c r="O25" s="34"/>
    </row>
    <row r="26" customFormat="false" ht="18" hidden="false" customHeight="true" outlineLevel="0" collapsed="false">
      <c r="A26" s="22" t="n">
        <v>46167</v>
      </c>
      <c r="B26" s="23"/>
      <c r="C26" s="24"/>
      <c r="D26" s="25"/>
      <c r="E26" s="25"/>
      <c r="F26" s="26"/>
      <c r="G26" s="26"/>
      <c r="H26" s="27"/>
      <c r="I26" s="27"/>
      <c r="J26" s="28"/>
      <c r="K26" s="28"/>
      <c r="L26" s="29" t="str">
        <f aca="false">IF(SUM(D26,F26,H26,J26)=0,"",SUM(D26,F26,H26,J26))</f>
        <v/>
      </c>
      <c r="M26" s="29" t="str">
        <f aca="false">IF(SUM(E26,G26,I26,K26)=0,"",SUM(E26,G26,I26,K26))</f>
        <v/>
      </c>
      <c r="N26" s="30"/>
      <c r="O26" s="30"/>
    </row>
    <row r="27" customFormat="false" ht="18" hidden="false" customHeight="true" outlineLevel="0" collapsed="false">
      <c r="A27" s="31" t="n">
        <v>46168</v>
      </c>
      <c r="B27" s="32"/>
      <c r="C27" s="33"/>
      <c r="D27" s="25"/>
      <c r="E27" s="25"/>
      <c r="F27" s="26"/>
      <c r="G27" s="26"/>
      <c r="H27" s="27"/>
      <c r="I27" s="27"/>
      <c r="J27" s="28"/>
      <c r="K27" s="28"/>
      <c r="L27" s="29" t="str">
        <f aca="false">IF(SUM(D27,F27,H27,J27)=0,"",SUM(D27,F27,H27,J27))</f>
        <v/>
      </c>
      <c r="M27" s="29" t="str">
        <f aca="false">IF(SUM(E27,G27,I27,K27)=0,"",SUM(E27,G27,I27,K27))</f>
        <v/>
      </c>
      <c r="N27" s="34"/>
      <c r="O27" s="34"/>
    </row>
    <row r="28" customFormat="false" ht="18" hidden="false" customHeight="true" outlineLevel="0" collapsed="false">
      <c r="A28" s="22" t="n">
        <v>46169</v>
      </c>
      <c r="B28" s="23"/>
      <c r="C28" s="24"/>
      <c r="D28" s="25"/>
      <c r="E28" s="25"/>
      <c r="F28" s="26"/>
      <c r="G28" s="26"/>
      <c r="H28" s="27"/>
      <c r="I28" s="27"/>
      <c r="J28" s="28"/>
      <c r="K28" s="28"/>
      <c r="L28" s="29" t="str">
        <f aca="false">IF(SUM(D28,F28,H28,J28)=0,"",SUM(D28,F28,H28,J28))</f>
        <v/>
      </c>
      <c r="M28" s="29" t="str">
        <f aca="false">IF(SUM(E28,G28,I28,K28)=0,"",SUM(E28,G28,I28,K28))</f>
        <v/>
      </c>
      <c r="N28" s="30"/>
      <c r="O28" s="30"/>
    </row>
    <row r="29" customFormat="false" ht="18" hidden="false" customHeight="true" outlineLevel="0" collapsed="false">
      <c r="A29" s="31" t="n">
        <v>46170</v>
      </c>
      <c r="B29" s="32"/>
      <c r="C29" s="33"/>
      <c r="D29" s="25"/>
      <c r="E29" s="25"/>
      <c r="F29" s="26"/>
      <c r="G29" s="26"/>
      <c r="H29" s="27"/>
      <c r="I29" s="27"/>
      <c r="J29" s="28"/>
      <c r="K29" s="28"/>
      <c r="L29" s="29" t="str">
        <f aca="false">IF(SUM(D29,F29,H29,J29)=0,"",SUM(D29,F29,H29,J29))</f>
        <v/>
      </c>
      <c r="M29" s="29" t="str">
        <f aca="false">IF(SUM(E29,G29,I29,K29)=0,"",SUM(E29,G29,I29,K29))</f>
        <v/>
      </c>
      <c r="N29" s="34"/>
      <c r="O29" s="34"/>
    </row>
    <row r="30" customFormat="false" ht="18" hidden="false" customHeight="true" outlineLevel="0" collapsed="false">
      <c r="A30" s="22" t="n">
        <v>46171</v>
      </c>
      <c r="B30" s="23"/>
      <c r="C30" s="24"/>
      <c r="D30" s="25"/>
      <c r="E30" s="25"/>
      <c r="F30" s="26"/>
      <c r="G30" s="26"/>
      <c r="H30" s="27"/>
      <c r="I30" s="27"/>
      <c r="J30" s="28"/>
      <c r="K30" s="28"/>
      <c r="L30" s="29" t="str">
        <f aca="false">IF(SUM(D30,F30,H30,J30)=0,"",SUM(D30,F30,H30,J30))</f>
        <v/>
      </c>
      <c r="M30" s="29" t="str">
        <f aca="false">IF(SUM(E30,G30,I30,K30)=0,"",SUM(E30,G30,I30,K30))</f>
        <v/>
      </c>
      <c r="N30" s="30"/>
      <c r="O30" s="30"/>
    </row>
    <row r="31" customFormat="false" ht="18" hidden="false" customHeight="true" outlineLevel="0" collapsed="false">
      <c r="A31" s="31" t="n">
        <v>46172</v>
      </c>
      <c r="B31" s="32"/>
      <c r="C31" s="33"/>
      <c r="D31" s="25"/>
      <c r="E31" s="25"/>
      <c r="F31" s="26"/>
      <c r="G31" s="26"/>
      <c r="H31" s="27"/>
      <c r="I31" s="27"/>
      <c r="J31" s="28"/>
      <c r="K31" s="28"/>
      <c r="L31" s="29" t="str">
        <f aca="false">IF(SUM(D31,F31,H31,J31)=0,"",SUM(D31,F31,H31,J31))</f>
        <v/>
      </c>
      <c r="M31" s="29" t="str">
        <f aca="false">IF(SUM(E31,G31,I31,K31)=0,"",SUM(E31,G31,I31,K31))</f>
        <v/>
      </c>
      <c r="N31" s="34"/>
      <c r="O31" s="34"/>
    </row>
    <row r="32" customFormat="false" ht="18" hidden="false" customHeight="true" outlineLevel="0" collapsed="false">
      <c r="A32" s="22" t="n">
        <v>46173</v>
      </c>
      <c r="B32" s="23"/>
      <c r="C32" s="24"/>
      <c r="D32" s="25"/>
      <c r="E32" s="25"/>
      <c r="F32" s="26"/>
      <c r="G32" s="26"/>
      <c r="H32" s="27"/>
      <c r="I32" s="27"/>
      <c r="J32" s="28"/>
      <c r="K32" s="28"/>
      <c r="L32" s="29" t="str">
        <f aca="false">IF(SUM(D32,F32,H32,J32)=0,"",SUM(D32,F32,H32,J32))</f>
        <v/>
      </c>
      <c r="M32" s="29" t="str">
        <f aca="false">IF(SUM(E32,G32,I32,K32)=0,"",SUM(E32,G32,I32,K32))</f>
        <v/>
      </c>
      <c r="N32" s="30"/>
      <c r="O32" s="30"/>
    </row>
    <row r="33" customFormat="false" ht="18" hidden="false" customHeight="true" outlineLevel="0" collapsed="false">
      <c r="A33" s="31" t="n">
        <v>46174</v>
      </c>
      <c r="B33" s="32"/>
      <c r="C33" s="33"/>
      <c r="D33" s="25"/>
      <c r="E33" s="25"/>
      <c r="F33" s="26"/>
      <c r="G33" s="26"/>
      <c r="H33" s="27"/>
      <c r="I33" s="27"/>
      <c r="J33" s="28"/>
      <c r="K33" s="28"/>
      <c r="L33" s="29" t="str">
        <f aca="false">IF(SUM(D33,F33,H33,J33)=0,"",SUM(D33,F33,H33,J33))</f>
        <v/>
      </c>
      <c r="M33" s="29" t="str">
        <f aca="false">IF(SUM(E33,G33,I33,K33)=0,"",SUM(E33,G33,I33,K33))</f>
        <v/>
      </c>
      <c r="N33" s="34"/>
      <c r="O33" s="34"/>
    </row>
    <row r="34" customFormat="false" ht="18" hidden="false" customHeight="true" outlineLevel="0" collapsed="false">
      <c r="A34" s="22" t="n">
        <v>46175</v>
      </c>
      <c r="B34" s="23"/>
      <c r="C34" s="24"/>
      <c r="D34" s="25"/>
      <c r="E34" s="25"/>
      <c r="F34" s="26"/>
      <c r="G34" s="26"/>
      <c r="H34" s="27"/>
      <c r="I34" s="27"/>
      <c r="J34" s="28"/>
      <c r="K34" s="28"/>
      <c r="L34" s="29" t="str">
        <f aca="false">IF(SUM(D34,F34,H34,J34)=0,"",SUM(D34,F34,H34,J34))</f>
        <v/>
      </c>
      <c r="M34" s="29" t="str">
        <f aca="false">IF(SUM(E34,G34,I34,K34)=0,"",SUM(E34,G34,I34,K34))</f>
        <v/>
      </c>
      <c r="N34" s="30"/>
      <c r="O34" s="30"/>
    </row>
    <row r="35" customFormat="false" ht="18" hidden="false" customHeight="true" outlineLevel="0" collapsed="false">
      <c r="A35" s="31" t="n">
        <v>46176</v>
      </c>
      <c r="B35" s="32"/>
      <c r="C35" s="33"/>
      <c r="D35" s="25"/>
      <c r="E35" s="25"/>
      <c r="F35" s="26"/>
      <c r="G35" s="26"/>
      <c r="H35" s="27"/>
      <c r="I35" s="27"/>
      <c r="J35" s="28"/>
      <c r="K35" s="28"/>
      <c r="L35" s="29" t="str">
        <f aca="false">IF(SUM(D35,F35,H35,J35)=0,"",SUM(D35,F35,H35,J35))</f>
        <v/>
      </c>
      <c r="M35" s="29" t="str">
        <f aca="false">IF(SUM(E35,G35,I35,K35)=0,"",SUM(E35,G35,I35,K35))</f>
        <v/>
      </c>
      <c r="N35" s="34"/>
      <c r="O35" s="34"/>
    </row>
    <row r="36" customFormat="false" ht="18" hidden="false" customHeight="true" outlineLevel="0" collapsed="false">
      <c r="A36" s="22" t="n">
        <v>46177</v>
      </c>
      <c r="B36" s="23"/>
      <c r="C36" s="24"/>
      <c r="D36" s="25"/>
      <c r="E36" s="25"/>
      <c r="F36" s="26"/>
      <c r="G36" s="26"/>
      <c r="H36" s="27"/>
      <c r="I36" s="27"/>
      <c r="J36" s="28"/>
      <c r="K36" s="28"/>
      <c r="L36" s="29" t="str">
        <f aca="false">IF(SUM(D36,F36,H36,J36)=0,"",SUM(D36,F36,H36,J36))</f>
        <v/>
      </c>
      <c r="M36" s="29" t="str">
        <f aca="false">IF(SUM(E36,G36,I36,K36)=0,"",SUM(E36,G36,I36,K36))</f>
        <v/>
      </c>
      <c r="N36" s="30"/>
      <c r="O36" s="30"/>
    </row>
    <row r="37" customFormat="false" ht="18" hidden="false" customHeight="true" outlineLevel="0" collapsed="false">
      <c r="A37" s="31" t="n">
        <v>46178</v>
      </c>
      <c r="B37" s="32"/>
      <c r="C37" s="33"/>
      <c r="D37" s="25"/>
      <c r="E37" s="25"/>
      <c r="F37" s="26"/>
      <c r="G37" s="26"/>
      <c r="H37" s="27"/>
      <c r="I37" s="27"/>
      <c r="J37" s="28"/>
      <c r="K37" s="28"/>
      <c r="L37" s="29" t="str">
        <f aca="false">IF(SUM(D37,F37,H37,J37)=0,"",SUM(D37,F37,H37,J37))</f>
        <v/>
      </c>
      <c r="M37" s="29" t="str">
        <f aca="false">IF(SUM(E37,G37,I37,K37)=0,"",SUM(E37,G37,I37,K37))</f>
        <v/>
      </c>
      <c r="N37" s="34"/>
      <c r="O37" s="34"/>
    </row>
    <row r="38" customFormat="false" ht="18" hidden="false" customHeight="true" outlineLevel="0" collapsed="false">
      <c r="A38" s="22" t="n">
        <v>46179</v>
      </c>
      <c r="B38" s="23"/>
      <c r="C38" s="24"/>
      <c r="D38" s="25"/>
      <c r="E38" s="25"/>
      <c r="F38" s="26"/>
      <c r="G38" s="26"/>
      <c r="H38" s="27"/>
      <c r="I38" s="27"/>
      <c r="J38" s="28"/>
      <c r="K38" s="28"/>
      <c r="L38" s="29" t="str">
        <f aca="false">IF(SUM(D38,F38,H38,J38)=0,"",SUM(D38,F38,H38,J38))</f>
        <v/>
      </c>
      <c r="M38" s="29" t="str">
        <f aca="false">IF(SUM(E38,G38,I38,K38)=0,"",SUM(E38,G38,I38,K38))</f>
        <v/>
      </c>
      <c r="N38" s="30"/>
      <c r="O38" s="30"/>
    </row>
    <row r="39" customFormat="false" ht="18" hidden="false" customHeight="true" outlineLevel="0" collapsed="false">
      <c r="A39" s="31" t="n">
        <v>46180</v>
      </c>
      <c r="B39" s="32"/>
      <c r="C39" s="33"/>
      <c r="D39" s="25"/>
      <c r="E39" s="25"/>
      <c r="F39" s="26"/>
      <c r="G39" s="26"/>
      <c r="H39" s="27"/>
      <c r="I39" s="27"/>
      <c r="J39" s="28"/>
      <c r="K39" s="28"/>
      <c r="L39" s="29" t="str">
        <f aca="false">IF(SUM(D39,F39,H39,J39)=0,"",SUM(D39,F39,H39,J39))</f>
        <v/>
      </c>
      <c r="M39" s="29" t="str">
        <f aca="false">IF(SUM(E39,G39,I39,K39)=0,"",SUM(E39,G39,I39,K39))</f>
        <v/>
      </c>
      <c r="N39" s="34"/>
      <c r="O39" s="34"/>
    </row>
    <row r="40" customFormat="false" ht="18" hidden="false" customHeight="true" outlineLevel="0" collapsed="false">
      <c r="A40" s="22" t="n">
        <v>46181</v>
      </c>
      <c r="B40" s="23"/>
      <c r="C40" s="24"/>
      <c r="D40" s="25"/>
      <c r="E40" s="25"/>
      <c r="F40" s="26"/>
      <c r="G40" s="26"/>
      <c r="H40" s="27"/>
      <c r="I40" s="27"/>
      <c r="J40" s="28"/>
      <c r="K40" s="28"/>
      <c r="L40" s="29" t="str">
        <f aca="false">IF(SUM(D40,F40,H40,J40)=0,"",SUM(D40,F40,H40,J40))</f>
        <v/>
      </c>
      <c r="M40" s="29" t="str">
        <f aca="false">IF(SUM(E40,G40,I40,K40)=0,"",SUM(E40,G40,I40,K40))</f>
        <v/>
      </c>
      <c r="N40" s="30"/>
      <c r="O40" s="30"/>
    </row>
    <row r="41" customFormat="false" ht="18" hidden="false" customHeight="true" outlineLevel="0" collapsed="false">
      <c r="A41" s="31" t="n">
        <v>46182</v>
      </c>
      <c r="B41" s="32"/>
      <c r="C41" s="33"/>
      <c r="D41" s="25"/>
      <c r="E41" s="25"/>
      <c r="F41" s="26"/>
      <c r="G41" s="26"/>
      <c r="H41" s="27"/>
      <c r="I41" s="27"/>
      <c r="J41" s="28"/>
      <c r="K41" s="28"/>
      <c r="L41" s="29" t="str">
        <f aca="false">IF(SUM(D41,F41,H41,J41)=0,"",SUM(D41,F41,H41,J41))</f>
        <v/>
      </c>
      <c r="M41" s="29" t="str">
        <f aca="false">IF(SUM(E41,G41,I41,K41)=0,"",SUM(E41,G41,I41,K41))</f>
        <v/>
      </c>
      <c r="N41" s="34"/>
      <c r="O41" s="34"/>
    </row>
    <row r="42" customFormat="false" ht="18" hidden="false" customHeight="true" outlineLevel="0" collapsed="false">
      <c r="A42" s="22" t="n">
        <v>46183</v>
      </c>
      <c r="B42" s="23"/>
      <c r="C42" s="24"/>
      <c r="D42" s="25"/>
      <c r="E42" s="25"/>
      <c r="F42" s="26"/>
      <c r="G42" s="26"/>
      <c r="H42" s="27"/>
      <c r="I42" s="27"/>
      <c r="J42" s="28"/>
      <c r="K42" s="28"/>
      <c r="L42" s="29" t="str">
        <f aca="false">IF(SUM(D42,F42,H42,J42)=0,"",SUM(D42,F42,H42,J42))</f>
        <v/>
      </c>
      <c r="M42" s="29" t="str">
        <f aca="false">IF(SUM(E42,G42,I42,K42)=0,"",SUM(E42,G42,I42,K42))</f>
        <v/>
      </c>
      <c r="N42" s="30"/>
      <c r="O42" s="30"/>
    </row>
    <row r="43" customFormat="false" ht="18" hidden="false" customHeight="true" outlineLevel="0" collapsed="false">
      <c r="A43" s="31" t="n">
        <v>46184</v>
      </c>
      <c r="B43" s="32"/>
      <c r="C43" s="33"/>
      <c r="D43" s="25"/>
      <c r="E43" s="25"/>
      <c r="F43" s="26"/>
      <c r="G43" s="26"/>
      <c r="H43" s="27"/>
      <c r="I43" s="27"/>
      <c r="J43" s="28"/>
      <c r="K43" s="28"/>
      <c r="L43" s="29" t="str">
        <f aca="false">IF(SUM(D43,F43,H43,J43)=0,"",SUM(D43,F43,H43,J43))</f>
        <v/>
      </c>
      <c r="M43" s="29" t="str">
        <f aca="false">IF(SUM(E43,G43,I43,K43)=0,"",SUM(E43,G43,I43,K43))</f>
        <v/>
      </c>
      <c r="N43" s="34"/>
      <c r="O43" s="34"/>
    </row>
    <row r="44" customFormat="false" ht="18" hidden="false" customHeight="true" outlineLevel="0" collapsed="false">
      <c r="A44" s="22" t="n">
        <v>46185</v>
      </c>
      <c r="B44" s="23"/>
      <c r="C44" s="24"/>
      <c r="D44" s="25"/>
      <c r="E44" s="25"/>
      <c r="F44" s="26"/>
      <c r="G44" s="26"/>
      <c r="H44" s="27"/>
      <c r="I44" s="27"/>
      <c r="J44" s="28"/>
      <c r="K44" s="28"/>
      <c r="L44" s="29" t="str">
        <f aca="false">IF(SUM(D44,F44,H44,J44)=0,"",SUM(D44,F44,H44,J44))</f>
        <v/>
      </c>
      <c r="M44" s="29" t="str">
        <f aca="false">IF(SUM(E44,G44,I44,K44)=0,"",SUM(E44,G44,I44,K44))</f>
        <v/>
      </c>
      <c r="N44" s="30"/>
      <c r="O44" s="30"/>
    </row>
    <row r="45" customFormat="false" ht="18" hidden="false" customHeight="true" outlineLevel="0" collapsed="false">
      <c r="A45" s="31" t="n">
        <v>46186</v>
      </c>
      <c r="B45" s="32"/>
      <c r="C45" s="33"/>
      <c r="D45" s="25"/>
      <c r="E45" s="25"/>
      <c r="F45" s="26"/>
      <c r="G45" s="26"/>
      <c r="H45" s="27"/>
      <c r="I45" s="27"/>
      <c r="J45" s="28"/>
      <c r="K45" s="28"/>
      <c r="L45" s="29" t="str">
        <f aca="false">IF(SUM(D45,F45,H45,J45)=0,"",SUM(D45,F45,H45,J45))</f>
        <v/>
      </c>
      <c r="M45" s="29" t="str">
        <f aca="false">IF(SUM(E45,G45,I45,K45)=0,"",SUM(E45,G45,I45,K45))</f>
        <v/>
      </c>
      <c r="N45" s="34"/>
      <c r="O45" s="34"/>
    </row>
    <row r="46" customFormat="false" ht="18" hidden="false" customHeight="true" outlineLevel="0" collapsed="false">
      <c r="A46" s="22" t="n">
        <v>46187</v>
      </c>
      <c r="B46" s="23"/>
      <c r="C46" s="24"/>
      <c r="D46" s="25"/>
      <c r="E46" s="25"/>
      <c r="F46" s="26"/>
      <c r="G46" s="26"/>
      <c r="H46" s="27"/>
      <c r="I46" s="27"/>
      <c r="J46" s="28"/>
      <c r="K46" s="28"/>
      <c r="L46" s="29" t="str">
        <f aca="false">IF(SUM(D46,F46,H46,J46)=0,"",SUM(D46,F46,H46,J46))</f>
        <v/>
      </c>
      <c r="M46" s="29" t="str">
        <f aca="false">IF(SUM(E46,G46,I46,K46)=0,"",SUM(E46,G46,I46,K46))</f>
        <v/>
      </c>
      <c r="N46" s="30"/>
      <c r="O46" s="30"/>
    </row>
    <row r="47" customFormat="false" ht="18" hidden="false" customHeight="true" outlineLevel="0" collapsed="false">
      <c r="A47" s="31" t="n">
        <v>46188</v>
      </c>
      <c r="B47" s="32"/>
      <c r="C47" s="33"/>
      <c r="D47" s="25"/>
      <c r="E47" s="25"/>
      <c r="F47" s="26"/>
      <c r="G47" s="26"/>
      <c r="H47" s="27"/>
      <c r="I47" s="27"/>
      <c r="J47" s="28"/>
      <c r="K47" s="28"/>
      <c r="L47" s="29" t="str">
        <f aca="false">IF(SUM(D47,F47,H47,J47)=0,"",SUM(D47,F47,H47,J47))</f>
        <v/>
      </c>
      <c r="M47" s="29" t="str">
        <f aca="false">IF(SUM(E47,G47,I47,K47)=0,"",SUM(E47,G47,I47,K47))</f>
        <v/>
      </c>
      <c r="N47" s="34"/>
      <c r="O47" s="34"/>
    </row>
    <row r="48" customFormat="false" ht="18" hidden="false" customHeight="true" outlineLevel="0" collapsed="false">
      <c r="A48" s="22" t="n">
        <v>46189</v>
      </c>
      <c r="B48" s="23"/>
      <c r="C48" s="24"/>
      <c r="D48" s="25"/>
      <c r="E48" s="25"/>
      <c r="F48" s="26"/>
      <c r="G48" s="26"/>
      <c r="H48" s="27"/>
      <c r="I48" s="27"/>
      <c r="J48" s="28"/>
      <c r="K48" s="28"/>
      <c r="L48" s="29" t="str">
        <f aca="false">IF(SUM(D48,F48,H48,J48)=0,"",SUM(D48,F48,H48,J48))</f>
        <v/>
      </c>
      <c r="M48" s="29" t="str">
        <f aca="false">IF(SUM(E48,G48,I48,K48)=0,"",SUM(E48,G48,I48,K48))</f>
        <v/>
      </c>
      <c r="N48" s="30"/>
      <c r="O48" s="30"/>
    </row>
    <row r="49" customFormat="false" ht="18" hidden="false" customHeight="true" outlineLevel="0" collapsed="false">
      <c r="A49" s="31" t="n">
        <v>46190</v>
      </c>
      <c r="B49" s="32"/>
      <c r="C49" s="33"/>
      <c r="D49" s="25"/>
      <c r="E49" s="25"/>
      <c r="F49" s="26"/>
      <c r="G49" s="26"/>
      <c r="H49" s="27"/>
      <c r="I49" s="27"/>
      <c r="J49" s="28"/>
      <c r="K49" s="28"/>
      <c r="L49" s="29" t="str">
        <f aca="false">IF(SUM(D49,F49,H49,J49)=0,"",SUM(D49,F49,H49,J49))</f>
        <v/>
      </c>
      <c r="M49" s="29" t="str">
        <f aca="false">IF(SUM(E49,G49,I49,K49)=0,"",SUM(E49,G49,I49,K49))</f>
        <v/>
      </c>
      <c r="N49" s="34"/>
      <c r="O49" s="34"/>
    </row>
    <row r="50" customFormat="false" ht="18" hidden="false" customHeight="true" outlineLevel="0" collapsed="false">
      <c r="A50" s="22" t="n">
        <v>46191</v>
      </c>
      <c r="B50" s="23"/>
      <c r="C50" s="24"/>
      <c r="D50" s="25"/>
      <c r="E50" s="25"/>
      <c r="F50" s="26"/>
      <c r="G50" s="26"/>
      <c r="H50" s="27"/>
      <c r="I50" s="27"/>
      <c r="J50" s="28"/>
      <c r="K50" s="28"/>
      <c r="L50" s="29" t="str">
        <f aca="false">IF(SUM(D50,F50,H50,J50)=0,"",SUM(D50,F50,H50,J50))</f>
        <v/>
      </c>
      <c r="M50" s="29" t="str">
        <f aca="false">IF(SUM(E50,G50,I50,K50)=0,"",SUM(E50,G50,I50,K50))</f>
        <v/>
      </c>
      <c r="N50" s="30"/>
      <c r="O50" s="30"/>
    </row>
    <row r="51" customFormat="false" ht="18" hidden="false" customHeight="true" outlineLevel="0" collapsed="false">
      <c r="A51" s="31" t="n">
        <v>46192</v>
      </c>
      <c r="B51" s="32"/>
      <c r="C51" s="33"/>
      <c r="D51" s="25"/>
      <c r="E51" s="25"/>
      <c r="F51" s="26"/>
      <c r="G51" s="26"/>
      <c r="H51" s="27"/>
      <c r="I51" s="27"/>
      <c r="J51" s="28"/>
      <c r="K51" s="28"/>
      <c r="L51" s="29" t="str">
        <f aca="false">IF(SUM(D51,F51,H51,J51)=0,"",SUM(D51,F51,H51,J51))</f>
        <v/>
      </c>
      <c r="M51" s="29" t="str">
        <f aca="false">IF(SUM(E51,G51,I51,K51)=0,"",SUM(E51,G51,I51,K51))</f>
        <v/>
      </c>
      <c r="N51" s="34"/>
      <c r="O51" s="34"/>
    </row>
    <row r="52" customFormat="false" ht="18" hidden="false" customHeight="true" outlineLevel="0" collapsed="false">
      <c r="A52" s="22" t="n">
        <v>46193</v>
      </c>
      <c r="B52" s="23"/>
      <c r="C52" s="24"/>
      <c r="D52" s="25"/>
      <c r="E52" s="25"/>
      <c r="F52" s="26"/>
      <c r="G52" s="26"/>
      <c r="H52" s="27"/>
      <c r="I52" s="27"/>
      <c r="J52" s="28"/>
      <c r="K52" s="28"/>
      <c r="L52" s="29" t="str">
        <f aca="false">IF(SUM(D52,F52,H52,J52)=0,"",SUM(D52,F52,H52,J52))</f>
        <v/>
      </c>
      <c r="M52" s="29" t="str">
        <f aca="false">IF(SUM(E52,G52,I52,K52)=0,"",SUM(E52,G52,I52,K52))</f>
        <v/>
      </c>
      <c r="N52" s="30"/>
      <c r="O52" s="30"/>
    </row>
    <row r="53" customFormat="false" ht="18" hidden="false" customHeight="true" outlineLevel="0" collapsed="false">
      <c r="A53" s="31" t="n">
        <v>46194</v>
      </c>
      <c r="B53" s="32"/>
      <c r="C53" s="33"/>
      <c r="D53" s="25"/>
      <c r="E53" s="25"/>
      <c r="F53" s="26"/>
      <c r="G53" s="26"/>
      <c r="H53" s="27"/>
      <c r="I53" s="27"/>
      <c r="J53" s="28"/>
      <c r="K53" s="28"/>
      <c r="L53" s="29" t="str">
        <f aca="false">IF(SUM(D53,F53,H53,J53)=0,"",SUM(D53,F53,H53,J53))</f>
        <v/>
      </c>
      <c r="M53" s="29" t="str">
        <f aca="false">IF(SUM(E53,G53,I53,K53)=0,"",SUM(E53,G53,I53,K53))</f>
        <v/>
      </c>
      <c r="N53" s="34"/>
      <c r="O53" s="34"/>
    </row>
    <row r="54" customFormat="false" ht="18" hidden="false" customHeight="true" outlineLevel="0" collapsed="false">
      <c r="A54" s="22" t="n">
        <v>46195</v>
      </c>
      <c r="B54" s="23"/>
      <c r="C54" s="24"/>
      <c r="D54" s="25"/>
      <c r="E54" s="25"/>
      <c r="F54" s="26"/>
      <c r="G54" s="26"/>
      <c r="H54" s="27"/>
      <c r="I54" s="27"/>
      <c r="J54" s="28"/>
      <c r="K54" s="28"/>
      <c r="L54" s="29" t="str">
        <f aca="false">IF(SUM(D54,F54,H54,J54)=0,"",SUM(D54,F54,H54,J54))</f>
        <v/>
      </c>
      <c r="M54" s="29" t="str">
        <f aca="false">IF(SUM(E54,G54,I54,K54)=0,"",SUM(E54,G54,I54,K54))</f>
        <v/>
      </c>
      <c r="N54" s="30"/>
      <c r="O54" s="30"/>
    </row>
    <row r="55" customFormat="false" ht="18" hidden="false" customHeight="true" outlineLevel="0" collapsed="false">
      <c r="A55" s="31" t="n">
        <v>46196</v>
      </c>
      <c r="B55" s="32"/>
      <c r="C55" s="33"/>
      <c r="D55" s="25"/>
      <c r="E55" s="25"/>
      <c r="F55" s="26"/>
      <c r="G55" s="26"/>
      <c r="H55" s="27"/>
      <c r="I55" s="27"/>
      <c r="J55" s="28"/>
      <c r="K55" s="28"/>
      <c r="L55" s="29" t="str">
        <f aca="false">IF(SUM(D55,F55,H55,J55)=0,"",SUM(D55,F55,H55,J55))</f>
        <v/>
      </c>
      <c r="M55" s="29" t="str">
        <f aca="false">IF(SUM(E55,G55,I55,K55)=0,"",SUM(E55,G55,I55,K55))</f>
        <v/>
      </c>
      <c r="N55" s="34"/>
      <c r="O55" s="34"/>
    </row>
    <row r="56" customFormat="false" ht="18" hidden="false" customHeight="true" outlineLevel="0" collapsed="false">
      <c r="A56" s="22" t="n">
        <v>46197</v>
      </c>
      <c r="B56" s="23"/>
      <c r="C56" s="24"/>
      <c r="D56" s="25"/>
      <c r="E56" s="25"/>
      <c r="F56" s="26"/>
      <c r="G56" s="26"/>
      <c r="H56" s="27"/>
      <c r="I56" s="27"/>
      <c r="J56" s="28"/>
      <c r="K56" s="28"/>
      <c r="L56" s="29" t="str">
        <f aca="false">IF(SUM(D56,F56,H56,J56)=0,"",SUM(D56,F56,H56,J56))</f>
        <v/>
      </c>
      <c r="M56" s="29" t="str">
        <f aca="false">IF(SUM(E56,G56,I56,K56)=0,"",SUM(E56,G56,I56,K56))</f>
        <v/>
      </c>
      <c r="N56" s="30"/>
      <c r="O56" s="30"/>
    </row>
    <row r="57" customFormat="false" ht="18" hidden="false" customHeight="true" outlineLevel="0" collapsed="false">
      <c r="A57" s="31" t="n">
        <v>46198</v>
      </c>
      <c r="B57" s="32"/>
      <c r="C57" s="33"/>
      <c r="D57" s="25"/>
      <c r="E57" s="25"/>
      <c r="F57" s="26"/>
      <c r="G57" s="26"/>
      <c r="H57" s="27"/>
      <c r="I57" s="27"/>
      <c r="J57" s="28"/>
      <c r="K57" s="28"/>
      <c r="L57" s="29" t="str">
        <f aca="false">IF(SUM(D57,F57,H57,J57)=0,"",SUM(D57,F57,H57,J57))</f>
        <v/>
      </c>
      <c r="M57" s="29" t="str">
        <f aca="false">IF(SUM(E57,G57,I57,K57)=0,"",SUM(E57,G57,I57,K57))</f>
        <v/>
      </c>
      <c r="N57" s="34"/>
      <c r="O57" s="34"/>
    </row>
    <row r="58" customFormat="false" ht="18" hidden="false" customHeight="true" outlineLevel="0" collapsed="false">
      <c r="A58" s="22" t="n">
        <v>46199</v>
      </c>
      <c r="B58" s="23"/>
      <c r="C58" s="24"/>
      <c r="D58" s="25"/>
      <c r="E58" s="25"/>
      <c r="F58" s="26"/>
      <c r="G58" s="26"/>
      <c r="H58" s="27"/>
      <c r="I58" s="27"/>
      <c r="J58" s="28"/>
      <c r="K58" s="28"/>
      <c r="L58" s="29" t="str">
        <f aca="false">IF(SUM(D58,F58,H58,J58)=0,"",SUM(D58,F58,H58,J58))</f>
        <v/>
      </c>
      <c r="M58" s="29" t="str">
        <f aca="false">IF(SUM(E58,G58,I58,K58)=0,"",SUM(E58,G58,I58,K58))</f>
        <v/>
      </c>
      <c r="N58" s="30"/>
      <c r="O58" s="30"/>
    </row>
    <row r="59" customFormat="false" ht="18" hidden="false" customHeight="true" outlineLevel="0" collapsed="false">
      <c r="A59" s="31" t="n">
        <v>46200</v>
      </c>
      <c r="B59" s="32"/>
      <c r="C59" s="33"/>
      <c r="D59" s="25"/>
      <c r="E59" s="25"/>
      <c r="F59" s="26"/>
      <c r="G59" s="26"/>
      <c r="H59" s="27"/>
      <c r="I59" s="27"/>
      <c r="J59" s="28"/>
      <c r="K59" s="28"/>
      <c r="L59" s="29" t="str">
        <f aca="false">IF(SUM(D59,F59,H59,J59)=0,"",SUM(D59,F59,H59,J59))</f>
        <v/>
      </c>
      <c r="M59" s="29" t="str">
        <f aca="false">IF(SUM(E59,G59,I59,K59)=0,"",SUM(E59,G59,I59,K59))</f>
        <v/>
      </c>
      <c r="N59" s="34"/>
      <c r="O59" s="34"/>
    </row>
    <row r="60" customFormat="false" ht="18" hidden="false" customHeight="true" outlineLevel="0" collapsed="false">
      <c r="A60" s="22" t="n">
        <v>46201</v>
      </c>
      <c r="B60" s="23"/>
      <c r="C60" s="24"/>
      <c r="D60" s="25"/>
      <c r="E60" s="25"/>
      <c r="F60" s="26"/>
      <c r="G60" s="26"/>
      <c r="H60" s="27"/>
      <c r="I60" s="27"/>
      <c r="J60" s="28"/>
      <c r="K60" s="28"/>
      <c r="L60" s="29" t="str">
        <f aca="false">IF(SUM(D60,F60,H60,J60)=0,"",SUM(D60,F60,H60,J60))</f>
        <v/>
      </c>
      <c r="M60" s="29" t="str">
        <f aca="false">IF(SUM(E60,G60,I60,K60)=0,"",SUM(E60,G60,I60,K60))</f>
        <v/>
      </c>
      <c r="N60" s="30"/>
      <c r="O60" s="30"/>
    </row>
    <row r="61" customFormat="false" ht="18" hidden="false" customHeight="true" outlineLevel="0" collapsed="false">
      <c r="A61" s="31" t="n">
        <v>46202</v>
      </c>
      <c r="B61" s="32"/>
      <c r="C61" s="33"/>
      <c r="D61" s="25"/>
      <c r="E61" s="25"/>
      <c r="F61" s="26"/>
      <c r="G61" s="26"/>
      <c r="H61" s="27"/>
      <c r="I61" s="27"/>
      <c r="J61" s="28"/>
      <c r="K61" s="28"/>
      <c r="L61" s="29" t="str">
        <f aca="false">IF(SUM(D61,F61,H61,J61)=0,"",SUM(D61,F61,H61,J61))</f>
        <v/>
      </c>
      <c r="M61" s="29" t="str">
        <f aca="false">IF(SUM(E61,G61,I61,K61)=0,"",SUM(E61,G61,I61,K61))</f>
        <v/>
      </c>
      <c r="N61" s="34"/>
      <c r="O61" s="34"/>
    </row>
    <row r="62" customFormat="false" ht="18" hidden="false" customHeight="true" outlineLevel="0" collapsed="false">
      <c r="A62" s="22" t="n">
        <v>46203</v>
      </c>
      <c r="B62" s="23"/>
      <c r="C62" s="24"/>
      <c r="D62" s="25"/>
      <c r="E62" s="25"/>
      <c r="F62" s="26"/>
      <c r="G62" s="26"/>
      <c r="H62" s="27"/>
      <c r="I62" s="27"/>
      <c r="J62" s="28"/>
      <c r="K62" s="28"/>
      <c r="L62" s="29" t="str">
        <f aca="false">IF(SUM(D62,F62,H62,J62)=0,"",SUM(D62,F62,H62,J62))</f>
        <v/>
      </c>
      <c r="M62" s="29" t="str">
        <f aca="false">IF(SUM(E62,G62,I62,K62)=0,"",SUM(E62,G62,I62,K62))</f>
        <v/>
      </c>
      <c r="N62" s="30"/>
      <c r="O62" s="30"/>
    </row>
    <row r="63" customFormat="false" ht="18" hidden="false" customHeight="true" outlineLevel="0" collapsed="false">
      <c r="A63" s="31" t="n">
        <v>46204</v>
      </c>
      <c r="B63" s="32"/>
      <c r="C63" s="33"/>
      <c r="D63" s="25"/>
      <c r="E63" s="25"/>
      <c r="F63" s="26"/>
      <c r="G63" s="26"/>
      <c r="H63" s="27"/>
      <c r="I63" s="27"/>
      <c r="J63" s="28"/>
      <c r="K63" s="28"/>
      <c r="L63" s="29" t="str">
        <f aca="false">IF(SUM(D63,F63,H63,J63)=0,"",SUM(D63,F63,H63,J63))</f>
        <v/>
      </c>
      <c r="M63" s="29" t="str">
        <f aca="false">IF(SUM(E63,G63,I63,K63)=0,"",SUM(E63,G63,I63,K63))</f>
        <v/>
      </c>
      <c r="N63" s="34"/>
      <c r="O63" s="34"/>
    </row>
    <row r="64" customFormat="false" ht="18" hidden="false" customHeight="true" outlineLevel="0" collapsed="false">
      <c r="A64" s="22" t="n">
        <v>46205</v>
      </c>
      <c r="B64" s="23"/>
      <c r="C64" s="24"/>
      <c r="D64" s="25"/>
      <c r="E64" s="25"/>
      <c r="F64" s="26"/>
      <c r="G64" s="26"/>
      <c r="H64" s="27"/>
      <c r="I64" s="27"/>
      <c r="J64" s="28"/>
      <c r="K64" s="28"/>
      <c r="L64" s="29" t="str">
        <f aca="false">IF(SUM(D64,F64,H64,J64)=0,"",SUM(D64,F64,H64,J64))</f>
        <v/>
      </c>
      <c r="M64" s="29" t="str">
        <f aca="false">IF(SUM(E64,G64,I64,K64)=0,"",SUM(E64,G64,I64,K64))</f>
        <v/>
      </c>
      <c r="N64" s="30"/>
      <c r="O64" s="30"/>
    </row>
    <row r="65" customFormat="false" ht="18" hidden="false" customHeight="true" outlineLevel="0" collapsed="false">
      <c r="A65" s="31" t="n">
        <v>46206</v>
      </c>
      <c r="B65" s="32"/>
      <c r="C65" s="33"/>
      <c r="D65" s="25"/>
      <c r="E65" s="25"/>
      <c r="F65" s="26"/>
      <c r="G65" s="26"/>
      <c r="H65" s="27"/>
      <c r="I65" s="27"/>
      <c r="J65" s="28"/>
      <c r="K65" s="28"/>
      <c r="L65" s="29" t="str">
        <f aca="false">IF(SUM(D65,F65,H65,J65)=0,"",SUM(D65,F65,H65,J65))</f>
        <v/>
      </c>
      <c r="M65" s="29" t="str">
        <f aca="false">IF(SUM(E65,G65,I65,K65)=0,"",SUM(E65,G65,I65,K65))</f>
        <v/>
      </c>
      <c r="N65" s="34"/>
      <c r="O65" s="34"/>
    </row>
    <row r="66" customFormat="false" ht="18" hidden="false" customHeight="true" outlineLevel="0" collapsed="false">
      <c r="A66" s="22" t="n">
        <v>46207</v>
      </c>
      <c r="B66" s="23"/>
      <c r="C66" s="24"/>
      <c r="D66" s="25"/>
      <c r="E66" s="25"/>
      <c r="F66" s="26"/>
      <c r="G66" s="26"/>
      <c r="H66" s="27"/>
      <c r="I66" s="27"/>
      <c r="J66" s="28"/>
      <c r="K66" s="28"/>
      <c r="L66" s="29" t="str">
        <f aca="false">IF(SUM(D66,F66,H66,J66)=0,"",SUM(D66,F66,H66,J66))</f>
        <v/>
      </c>
      <c r="M66" s="29" t="str">
        <f aca="false">IF(SUM(E66,G66,I66,K66)=0,"",SUM(E66,G66,I66,K66))</f>
        <v/>
      </c>
      <c r="N66" s="30"/>
      <c r="O66" s="30"/>
    </row>
    <row r="67" customFormat="false" ht="18" hidden="false" customHeight="true" outlineLevel="0" collapsed="false">
      <c r="A67" s="31" t="n">
        <v>46208</v>
      </c>
      <c r="B67" s="32"/>
      <c r="C67" s="33"/>
      <c r="D67" s="25"/>
      <c r="E67" s="25"/>
      <c r="F67" s="26"/>
      <c r="G67" s="26"/>
      <c r="H67" s="27"/>
      <c r="I67" s="27"/>
      <c r="J67" s="28"/>
      <c r="K67" s="28"/>
      <c r="L67" s="29" t="str">
        <f aca="false">IF(SUM(D67,F67,H67,J67)=0,"",SUM(D67,F67,H67,J67))</f>
        <v/>
      </c>
      <c r="M67" s="29" t="str">
        <f aca="false">IF(SUM(E67,G67,I67,K67)=0,"",SUM(E67,G67,I67,K67))</f>
        <v/>
      </c>
      <c r="N67" s="34"/>
      <c r="O67" s="34"/>
    </row>
    <row r="68" customFormat="false" ht="18" hidden="false" customHeight="true" outlineLevel="0" collapsed="false">
      <c r="A68" s="22" t="n">
        <v>46209</v>
      </c>
      <c r="B68" s="23"/>
      <c r="C68" s="24"/>
      <c r="D68" s="25"/>
      <c r="E68" s="25"/>
      <c r="F68" s="26"/>
      <c r="G68" s="26"/>
      <c r="H68" s="27"/>
      <c r="I68" s="27"/>
      <c r="J68" s="28"/>
      <c r="K68" s="28"/>
      <c r="L68" s="29" t="str">
        <f aca="false">IF(SUM(D68,F68,H68,J68)=0,"",SUM(D68,F68,H68,J68))</f>
        <v/>
      </c>
      <c r="M68" s="29" t="str">
        <f aca="false">IF(SUM(E68,G68,I68,K68)=0,"",SUM(E68,G68,I68,K68))</f>
        <v/>
      </c>
      <c r="N68" s="30"/>
      <c r="O68" s="30"/>
    </row>
    <row r="69" customFormat="false" ht="18" hidden="false" customHeight="true" outlineLevel="0" collapsed="false">
      <c r="A69" s="31" t="n">
        <v>46210</v>
      </c>
      <c r="B69" s="32"/>
      <c r="C69" s="33"/>
      <c r="D69" s="25"/>
      <c r="E69" s="25"/>
      <c r="F69" s="26"/>
      <c r="G69" s="26"/>
      <c r="H69" s="27"/>
      <c r="I69" s="27"/>
      <c r="J69" s="28"/>
      <c r="K69" s="28"/>
      <c r="L69" s="29" t="str">
        <f aca="false">IF(SUM(D69,F69,H69,J69)=0,"",SUM(D69,F69,H69,J69))</f>
        <v/>
      </c>
      <c r="M69" s="29" t="str">
        <f aca="false">IF(SUM(E69,G69,I69,K69)=0,"",SUM(E69,G69,I69,K69))</f>
        <v/>
      </c>
      <c r="N69" s="34"/>
      <c r="O69" s="34"/>
    </row>
    <row r="70" customFormat="false" ht="18" hidden="false" customHeight="true" outlineLevel="0" collapsed="false">
      <c r="A70" s="22" t="n">
        <v>46211</v>
      </c>
      <c r="B70" s="23"/>
      <c r="C70" s="24"/>
      <c r="D70" s="25"/>
      <c r="E70" s="25"/>
      <c r="F70" s="26"/>
      <c r="G70" s="26"/>
      <c r="H70" s="27"/>
      <c r="I70" s="27"/>
      <c r="J70" s="28"/>
      <c r="K70" s="28"/>
      <c r="L70" s="29" t="str">
        <f aca="false">IF(SUM(D70,F70,H70,J70)=0,"",SUM(D70,F70,H70,J70))</f>
        <v/>
      </c>
      <c r="M70" s="29" t="str">
        <f aca="false">IF(SUM(E70,G70,I70,K70)=0,"",SUM(E70,G70,I70,K70))</f>
        <v/>
      </c>
      <c r="N70" s="30"/>
      <c r="O70" s="30"/>
    </row>
    <row r="71" customFormat="false" ht="18" hidden="false" customHeight="true" outlineLevel="0" collapsed="false">
      <c r="A71" s="31" t="n">
        <v>46212</v>
      </c>
      <c r="B71" s="32"/>
      <c r="C71" s="33"/>
      <c r="D71" s="25"/>
      <c r="E71" s="25"/>
      <c r="F71" s="26"/>
      <c r="G71" s="26"/>
      <c r="H71" s="27"/>
      <c r="I71" s="27"/>
      <c r="J71" s="28"/>
      <c r="K71" s="28"/>
      <c r="L71" s="29" t="str">
        <f aca="false">IF(SUM(D71,F71,H71,J71)=0,"",SUM(D71,F71,H71,J71))</f>
        <v/>
      </c>
      <c r="M71" s="29" t="str">
        <f aca="false">IF(SUM(E71,G71,I71,K71)=0,"",SUM(E71,G71,I71,K71))</f>
        <v/>
      </c>
      <c r="N71" s="34"/>
      <c r="O71" s="34"/>
    </row>
    <row r="72" customFormat="false" ht="18" hidden="false" customHeight="true" outlineLevel="0" collapsed="false">
      <c r="A72" s="22" t="n">
        <v>46213</v>
      </c>
      <c r="B72" s="23"/>
      <c r="C72" s="24"/>
      <c r="D72" s="25"/>
      <c r="E72" s="25"/>
      <c r="F72" s="26"/>
      <c r="G72" s="26"/>
      <c r="H72" s="27"/>
      <c r="I72" s="27"/>
      <c r="J72" s="28"/>
      <c r="K72" s="28"/>
      <c r="L72" s="29" t="str">
        <f aca="false">IF(SUM(D72,F72,H72,J72)=0,"",SUM(D72,F72,H72,J72))</f>
        <v/>
      </c>
      <c r="M72" s="29" t="str">
        <f aca="false">IF(SUM(E72,G72,I72,K72)=0,"",SUM(E72,G72,I72,K72))</f>
        <v/>
      </c>
      <c r="N72" s="30"/>
      <c r="O72" s="30"/>
    </row>
    <row r="73" customFormat="false" ht="18" hidden="false" customHeight="true" outlineLevel="0" collapsed="false">
      <c r="A73" s="31" t="n">
        <v>46214</v>
      </c>
      <c r="B73" s="32"/>
      <c r="C73" s="33"/>
      <c r="D73" s="25"/>
      <c r="E73" s="25"/>
      <c r="F73" s="26"/>
      <c r="G73" s="26"/>
      <c r="H73" s="27"/>
      <c r="I73" s="27"/>
      <c r="J73" s="28"/>
      <c r="K73" s="28"/>
      <c r="L73" s="29" t="str">
        <f aca="false">IF(SUM(D73,F73,H73,J73)=0,"",SUM(D73,F73,H73,J73))</f>
        <v/>
      </c>
      <c r="M73" s="29" t="str">
        <f aca="false">IF(SUM(E73,G73,I73,K73)=0,"",SUM(E73,G73,I73,K73))</f>
        <v/>
      </c>
      <c r="N73" s="34"/>
      <c r="O73" s="34"/>
    </row>
    <row r="74" customFormat="false" ht="18" hidden="false" customHeight="true" outlineLevel="0" collapsed="false">
      <c r="A74" s="22" t="n">
        <v>46215</v>
      </c>
      <c r="B74" s="23"/>
      <c r="C74" s="24"/>
      <c r="D74" s="25"/>
      <c r="E74" s="25"/>
      <c r="F74" s="26"/>
      <c r="G74" s="26"/>
      <c r="H74" s="27"/>
      <c r="I74" s="27"/>
      <c r="J74" s="28"/>
      <c r="K74" s="28"/>
      <c r="L74" s="29" t="str">
        <f aca="false">IF(SUM(D74,F74,H74,J74)=0,"",SUM(D74,F74,H74,J74))</f>
        <v/>
      </c>
      <c r="M74" s="29" t="str">
        <f aca="false">IF(SUM(E74,G74,I74,K74)=0,"",SUM(E74,G74,I74,K74))</f>
        <v/>
      </c>
      <c r="N74" s="30"/>
      <c r="O74" s="30"/>
    </row>
    <row r="75" customFormat="false" ht="18" hidden="false" customHeight="true" outlineLevel="0" collapsed="false">
      <c r="A75" s="31" t="n">
        <v>46216</v>
      </c>
      <c r="B75" s="32"/>
      <c r="C75" s="33"/>
      <c r="D75" s="25"/>
      <c r="E75" s="25"/>
      <c r="F75" s="26"/>
      <c r="G75" s="26"/>
      <c r="H75" s="27"/>
      <c r="I75" s="27"/>
      <c r="J75" s="28"/>
      <c r="K75" s="28"/>
      <c r="L75" s="29" t="str">
        <f aca="false">IF(SUM(D75,F75,H75,J75)=0,"",SUM(D75,F75,H75,J75))</f>
        <v/>
      </c>
      <c r="M75" s="29" t="str">
        <f aca="false">IF(SUM(E75,G75,I75,K75)=0,"",SUM(E75,G75,I75,K75))</f>
        <v/>
      </c>
      <c r="N75" s="34"/>
      <c r="O75" s="34"/>
    </row>
    <row r="76" customFormat="false" ht="18" hidden="false" customHeight="true" outlineLevel="0" collapsed="false">
      <c r="A76" s="22" t="n">
        <v>46217</v>
      </c>
      <c r="B76" s="23"/>
      <c r="C76" s="24"/>
      <c r="D76" s="25"/>
      <c r="E76" s="25"/>
      <c r="F76" s="26"/>
      <c r="G76" s="26"/>
      <c r="H76" s="27"/>
      <c r="I76" s="27"/>
      <c r="J76" s="28"/>
      <c r="K76" s="28"/>
      <c r="L76" s="29" t="str">
        <f aca="false">IF(SUM(D76,F76,H76,J76)=0,"",SUM(D76,F76,H76,J76))</f>
        <v/>
      </c>
      <c r="M76" s="29" t="str">
        <f aca="false">IF(SUM(E76,G76,I76,K76)=0,"",SUM(E76,G76,I76,K76))</f>
        <v/>
      </c>
      <c r="N76" s="30"/>
      <c r="O76" s="30"/>
    </row>
    <row r="77" customFormat="false" ht="18" hidden="false" customHeight="true" outlineLevel="0" collapsed="false">
      <c r="A77" s="31" t="n">
        <v>46218</v>
      </c>
      <c r="B77" s="32"/>
      <c r="C77" s="33"/>
      <c r="D77" s="25"/>
      <c r="E77" s="25"/>
      <c r="F77" s="26"/>
      <c r="G77" s="26"/>
      <c r="H77" s="27"/>
      <c r="I77" s="27"/>
      <c r="J77" s="28"/>
      <c r="K77" s="28"/>
      <c r="L77" s="29" t="str">
        <f aca="false">IF(SUM(D77,F77,H77,J77)=0,"",SUM(D77,F77,H77,J77))</f>
        <v/>
      </c>
      <c r="M77" s="29" t="str">
        <f aca="false">IF(SUM(E77,G77,I77,K77)=0,"",SUM(E77,G77,I77,K77))</f>
        <v/>
      </c>
      <c r="N77" s="34"/>
      <c r="O77" s="34"/>
    </row>
    <row r="78" customFormat="false" ht="18" hidden="false" customHeight="true" outlineLevel="0" collapsed="false">
      <c r="A78" s="22" t="n">
        <v>46219</v>
      </c>
      <c r="B78" s="23"/>
      <c r="C78" s="24"/>
      <c r="D78" s="25"/>
      <c r="E78" s="25"/>
      <c r="F78" s="26"/>
      <c r="G78" s="26"/>
      <c r="H78" s="27"/>
      <c r="I78" s="27"/>
      <c r="J78" s="28"/>
      <c r="K78" s="28"/>
      <c r="L78" s="29" t="str">
        <f aca="false">IF(SUM(D78,F78,H78,J78)=0,"",SUM(D78,F78,H78,J78))</f>
        <v/>
      </c>
      <c r="M78" s="29" t="str">
        <f aca="false">IF(SUM(E78,G78,I78,K78)=0,"",SUM(E78,G78,I78,K78))</f>
        <v/>
      </c>
      <c r="N78" s="30"/>
      <c r="O78" s="30"/>
    </row>
    <row r="79" customFormat="false" ht="18" hidden="false" customHeight="true" outlineLevel="0" collapsed="false">
      <c r="A79" s="31" t="n">
        <v>46220</v>
      </c>
      <c r="B79" s="32"/>
      <c r="C79" s="33"/>
      <c r="D79" s="25"/>
      <c r="E79" s="25"/>
      <c r="F79" s="26"/>
      <c r="G79" s="26"/>
      <c r="H79" s="27"/>
      <c r="I79" s="27"/>
      <c r="J79" s="28"/>
      <c r="K79" s="28"/>
      <c r="L79" s="29" t="str">
        <f aca="false">IF(SUM(D79,F79,H79,J79)=0,"",SUM(D79,F79,H79,J79))</f>
        <v/>
      </c>
      <c r="M79" s="29" t="str">
        <f aca="false">IF(SUM(E79,G79,I79,K79)=0,"",SUM(E79,G79,I79,K79))</f>
        <v/>
      </c>
      <c r="N79" s="34"/>
      <c r="O79" s="34"/>
    </row>
    <row r="80" customFormat="false" ht="18" hidden="false" customHeight="true" outlineLevel="0" collapsed="false">
      <c r="A80" s="22" t="n">
        <v>46221</v>
      </c>
      <c r="B80" s="23"/>
      <c r="C80" s="24"/>
      <c r="D80" s="25"/>
      <c r="E80" s="25"/>
      <c r="F80" s="26"/>
      <c r="G80" s="26"/>
      <c r="H80" s="27"/>
      <c r="I80" s="27"/>
      <c r="J80" s="28"/>
      <c r="K80" s="28"/>
      <c r="L80" s="29" t="str">
        <f aca="false">IF(SUM(D80,F80,H80,J80)=0,"",SUM(D80,F80,H80,J80))</f>
        <v/>
      </c>
      <c r="M80" s="29" t="str">
        <f aca="false">IF(SUM(E80,G80,I80,K80)=0,"",SUM(E80,G80,I80,K80))</f>
        <v/>
      </c>
      <c r="N80" s="30"/>
      <c r="O80" s="30"/>
    </row>
    <row r="81" customFormat="false" ht="18" hidden="false" customHeight="true" outlineLevel="0" collapsed="false">
      <c r="A81" s="31" t="n">
        <v>46222</v>
      </c>
      <c r="B81" s="32"/>
      <c r="C81" s="33"/>
      <c r="D81" s="25"/>
      <c r="E81" s="25"/>
      <c r="F81" s="26"/>
      <c r="G81" s="26"/>
      <c r="H81" s="27"/>
      <c r="I81" s="27"/>
      <c r="J81" s="28"/>
      <c r="K81" s="28"/>
      <c r="L81" s="29" t="str">
        <f aca="false">IF(SUM(D81,F81,H81,J81)=0,"",SUM(D81,F81,H81,J81))</f>
        <v/>
      </c>
      <c r="M81" s="29" t="str">
        <f aca="false">IF(SUM(E81,G81,I81,K81)=0,"",SUM(E81,G81,I81,K81))</f>
        <v/>
      </c>
      <c r="N81" s="34"/>
      <c r="O81" s="34"/>
    </row>
    <row r="82" customFormat="false" ht="18" hidden="false" customHeight="true" outlineLevel="0" collapsed="false">
      <c r="A82" s="22" t="n">
        <v>46223</v>
      </c>
      <c r="B82" s="23"/>
      <c r="C82" s="24"/>
      <c r="D82" s="25"/>
      <c r="E82" s="25"/>
      <c r="F82" s="26"/>
      <c r="G82" s="26"/>
      <c r="H82" s="27"/>
      <c r="I82" s="27"/>
      <c r="J82" s="28"/>
      <c r="K82" s="28"/>
      <c r="L82" s="29" t="str">
        <f aca="false">IF(SUM(D82,F82,H82,J82)=0,"",SUM(D82,F82,H82,J82))</f>
        <v/>
      </c>
      <c r="M82" s="29" t="str">
        <f aca="false">IF(SUM(E82,G82,I82,K82)=0,"",SUM(E82,G82,I82,K82))</f>
        <v/>
      </c>
      <c r="N82" s="30"/>
      <c r="O82" s="30"/>
    </row>
    <row r="83" customFormat="false" ht="18" hidden="false" customHeight="true" outlineLevel="0" collapsed="false">
      <c r="A83" s="31" t="n">
        <v>46224</v>
      </c>
      <c r="B83" s="32"/>
      <c r="C83" s="33"/>
      <c r="D83" s="25"/>
      <c r="E83" s="25"/>
      <c r="F83" s="26"/>
      <c r="G83" s="26"/>
      <c r="H83" s="27"/>
      <c r="I83" s="27"/>
      <c r="J83" s="28"/>
      <c r="K83" s="28"/>
      <c r="L83" s="29" t="str">
        <f aca="false">IF(SUM(D83,F83,H83,J83)=0,"",SUM(D83,F83,H83,J83))</f>
        <v/>
      </c>
      <c r="M83" s="29" t="str">
        <f aca="false">IF(SUM(E83,G83,I83,K83)=0,"",SUM(E83,G83,I83,K83))</f>
        <v/>
      </c>
      <c r="N83" s="34"/>
      <c r="O83" s="34"/>
    </row>
    <row r="84" customFormat="false" ht="18" hidden="false" customHeight="true" outlineLevel="0" collapsed="false">
      <c r="A84" s="22" t="n">
        <v>46225</v>
      </c>
      <c r="B84" s="23"/>
      <c r="C84" s="24"/>
      <c r="D84" s="25"/>
      <c r="E84" s="25"/>
      <c r="F84" s="26"/>
      <c r="G84" s="26"/>
      <c r="H84" s="27"/>
      <c r="I84" s="27"/>
      <c r="J84" s="28"/>
      <c r="K84" s="28"/>
      <c r="L84" s="29" t="str">
        <f aca="false">IF(SUM(D84,F84,H84,J84)=0,"",SUM(D84,F84,H84,J84))</f>
        <v/>
      </c>
      <c r="M84" s="29" t="str">
        <f aca="false">IF(SUM(E84,G84,I84,K84)=0,"",SUM(E84,G84,I84,K84))</f>
        <v/>
      </c>
      <c r="N84" s="30"/>
      <c r="O84" s="30"/>
    </row>
    <row r="85" customFormat="false" ht="18" hidden="false" customHeight="true" outlineLevel="0" collapsed="false">
      <c r="A85" s="31" t="n">
        <v>46226</v>
      </c>
      <c r="B85" s="32"/>
      <c r="C85" s="33"/>
      <c r="D85" s="25"/>
      <c r="E85" s="25"/>
      <c r="F85" s="26"/>
      <c r="G85" s="26"/>
      <c r="H85" s="27"/>
      <c r="I85" s="27"/>
      <c r="J85" s="28"/>
      <c r="K85" s="28"/>
      <c r="L85" s="29" t="str">
        <f aca="false">IF(SUM(D85,F85,H85,J85)=0,"",SUM(D85,F85,H85,J85))</f>
        <v/>
      </c>
      <c r="M85" s="29" t="str">
        <f aca="false">IF(SUM(E85,G85,I85,K85)=0,"",SUM(E85,G85,I85,K85))</f>
        <v/>
      </c>
      <c r="N85" s="34"/>
      <c r="O85" s="34"/>
    </row>
    <row r="86" customFormat="false" ht="18" hidden="false" customHeight="true" outlineLevel="0" collapsed="false">
      <c r="A86" s="22" t="n">
        <v>46227</v>
      </c>
      <c r="B86" s="23"/>
      <c r="C86" s="24"/>
      <c r="D86" s="25"/>
      <c r="E86" s="25"/>
      <c r="F86" s="26"/>
      <c r="G86" s="26"/>
      <c r="H86" s="27"/>
      <c r="I86" s="27"/>
      <c r="J86" s="28"/>
      <c r="K86" s="28"/>
      <c r="L86" s="29" t="str">
        <f aca="false">IF(SUM(D86,F86,H86,J86)=0,"",SUM(D86,F86,H86,J86))</f>
        <v/>
      </c>
      <c r="M86" s="29" t="str">
        <f aca="false">IF(SUM(E86,G86,I86,K86)=0,"",SUM(E86,G86,I86,K86))</f>
        <v/>
      </c>
      <c r="N86" s="30"/>
      <c r="O86" s="30"/>
    </row>
    <row r="87" customFormat="false" ht="18" hidden="false" customHeight="true" outlineLevel="0" collapsed="false">
      <c r="A87" s="31" t="n">
        <v>46228</v>
      </c>
      <c r="B87" s="32"/>
      <c r="C87" s="33"/>
      <c r="D87" s="25"/>
      <c r="E87" s="25"/>
      <c r="F87" s="26"/>
      <c r="G87" s="26"/>
      <c r="H87" s="27"/>
      <c r="I87" s="27"/>
      <c r="J87" s="28"/>
      <c r="K87" s="28"/>
      <c r="L87" s="29" t="str">
        <f aca="false">IF(SUM(D87,F87,H87,J87)=0,"",SUM(D87,F87,H87,J87))</f>
        <v/>
      </c>
      <c r="M87" s="29" t="str">
        <f aca="false">IF(SUM(E87,G87,I87,K87)=0,"",SUM(E87,G87,I87,K87))</f>
        <v/>
      </c>
      <c r="N87" s="34"/>
      <c r="O87" s="34"/>
    </row>
    <row r="88" customFormat="false" ht="18" hidden="false" customHeight="true" outlineLevel="0" collapsed="false">
      <c r="A88" s="22" t="n">
        <v>46229</v>
      </c>
      <c r="B88" s="23"/>
      <c r="C88" s="24"/>
      <c r="D88" s="25"/>
      <c r="E88" s="25"/>
      <c r="F88" s="26"/>
      <c r="G88" s="26"/>
      <c r="H88" s="27"/>
      <c r="I88" s="27"/>
      <c r="J88" s="28"/>
      <c r="K88" s="28"/>
      <c r="L88" s="29" t="str">
        <f aca="false">IF(SUM(D88,F88,H88,J88)=0,"",SUM(D88,F88,H88,J88))</f>
        <v/>
      </c>
      <c r="M88" s="29" t="str">
        <f aca="false">IF(SUM(E88,G88,I88,K88)=0,"",SUM(E88,G88,I88,K88))</f>
        <v/>
      </c>
      <c r="N88" s="30"/>
      <c r="O88" s="30"/>
    </row>
    <row r="89" customFormat="false" ht="18" hidden="false" customHeight="true" outlineLevel="0" collapsed="false">
      <c r="A89" s="31" t="n">
        <v>46230</v>
      </c>
      <c r="B89" s="32"/>
      <c r="C89" s="33"/>
      <c r="D89" s="25"/>
      <c r="E89" s="25"/>
      <c r="F89" s="26"/>
      <c r="G89" s="26"/>
      <c r="H89" s="27"/>
      <c r="I89" s="27"/>
      <c r="J89" s="28"/>
      <c r="K89" s="28"/>
      <c r="L89" s="29" t="str">
        <f aca="false">IF(SUM(D89,F89,H89,J89)=0,"",SUM(D89,F89,H89,J89))</f>
        <v/>
      </c>
      <c r="M89" s="29" t="str">
        <f aca="false">IF(SUM(E89,G89,I89,K89)=0,"",SUM(E89,G89,I89,K89))</f>
        <v/>
      </c>
      <c r="N89" s="34"/>
      <c r="O89" s="34"/>
    </row>
    <row r="90" customFormat="false" ht="18" hidden="false" customHeight="true" outlineLevel="0" collapsed="false">
      <c r="A90" s="22" t="n">
        <v>46231</v>
      </c>
      <c r="B90" s="23"/>
      <c r="C90" s="24"/>
      <c r="D90" s="25"/>
      <c r="E90" s="25"/>
      <c r="F90" s="26"/>
      <c r="G90" s="26"/>
      <c r="H90" s="27"/>
      <c r="I90" s="27"/>
      <c r="J90" s="28"/>
      <c r="K90" s="28"/>
      <c r="L90" s="29" t="str">
        <f aca="false">IF(SUM(D90,F90,H90,J90)=0,"",SUM(D90,F90,H90,J90))</f>
        <v/>
      </c>
      <c r="M90" s="29" t="str">
        <f aca="false">IF(SUM(E90,G90,I90,K90)=0,"",SUM(E90,G90,I90,K90))</f>
        <v/>
      </c>
      <c r="N90" s="30"/>
      <c r="O90" s="30"/>
    </row>
    <row r="91" customFormat="false" ht="18" hidden="false" customHeight="true" outlineLevel="0" collapsed="false">
      <c r="A91" s="31" t="n">
        <v>46232</v>
      </c>
      <c r="B91" s="32"/>
      <c r="C91" s="33"/>
      <c r="D91" s="25"/>
      <c r="E91" s="25"/>
      <c r="F91" s="26"/>
      <c r="G91" s="26"/>
      <c r="H91" s="27"/>
      <c r="I91" s="27"/>
      <c r="J91" s="28"/>
      <c r="K91" s="28"/>
      <c r="L91" s="29" t="str">
        <f aca="false">IF(SUM(D91,F91,H91,J91)=0,"",SUM(D91,F91,H91,J91))</f>
        <v/>
      </c>
      <c r="M91" s="29" t="str">
        <f aca="false">IF(SUM(E91,G91,I91,K91)=0,"",SUM(E91,G91,I91,K91))</f>
        <v/>
      </c>
      <c r="N91" s="34"/>
      <c r="O91" s="34"/>
    </row>
    <row r="92" customFormat="false" ht="18" hidden="false" customHeight="true" outlineLevel="0" collapsed="false">
      <c r="A92" s="22" t="n">
        <v>46233</v>
      </c>
      <c r="B92" s="23"/>
      <c r="C92" s="24"/>
      <c r="D92" s="25"/>
      <c r="E92" s="25"/>
      <c r="F92" s="26"/>
      <c r="G92" s="26"/>
      <c r="H92" s="27"/>
      <c r="I92" s="27"/>
      <c r="J92" s="28"/>
      <c r="K92" s="28"/>
      <c r="L92" s="29" t="str">
        <f aca="false">IF(SUM(D92,F92,H92,J92)=0,"",SUM(D92,F92,H92,J92))</f>
        <v/>
      </c>
      <c r="M92" s="29" t="str">
        <f aca="false">IF(SUM(E92,G92,I92,K92)=0,"",SUM(E92,G92,I92,K92))</f>
        <v/>
      </c>
      <c r="N92" s="30"/>
      <c r="O92" s="30"/>
    </row>
    <row r="93" customFormat="false" ht="18" hidden="false" customHeight="true" outlineLevel="0" collapsed="false">
      <c r="A93" s="31" t="n">
        <v>46234</v>
      </c>
      <c r="B93" s="32"/>
      <c r="C93" s="33"/>
      <c r="D93" s="25"/>
      <c r="E93" s="25"/>
      <c r="F93" s="26"/>
      <c r="G93" s="26"/>
      <c r="H93" s="27"/>
      <c r="I93" s="27"/>
      <c r="J93" s="28"/>
      <c r="K93" s="28"/>
      <c r="L93" s="29" t="str">
        <f aca="false">IF(SUM(D93,F93,H93,J93)=0,"",SUM(D93,F93,H93,J93))</f>
        <v/>
      </c>
      <c r="M93" s="29" t="str">
        <f aca="false">IF(SUM(E93,G93,I93,K93)=0,"",SUM(E93,G93,I93,K93))</f>
        <v/>
      </c>
      <c r="N93" s="34"/>
      <c r="O93" s="34"/>
    </row>
  </sheetData>
  <mergeCells count="8">
    <mergeCell ref="A1:O1"/>
    <mergeCell ref="A2:C2"/>
    <mergeCell ref="D2:E2"/>
    <mergeCell ref="F2:G2"/>
    <mergeCell ref="H2:I2"/>
    <mergeCell ref="J2:K2"/>
    <mergeCell ref="L2:M2"/>
    <mergeCell ref="N2:O2"/>
  </mergeCells>
  <conditionalFormatting sqref="C4:C93">
    <cfRule type="cellIs" priority="2" operator="greaterThan" aboveAverage="0" equalAverage="0" bottom="0" percent="0" rank="0" text="" dxfId="0">
      <formula>125</formula>
    </cfRule>
    <cfRule type="cellIs" priority="3" operator="between" aboveAverage="0" equalAverage="0" bottom="0" percent="0" rank="0" text="" dxfId="1">
      <formula>70</formula>
      <formula>99</formula>
    </cfRule>
    <cfRule type="cellIs" priority="4" operator="between" aboveAverage="0" equalAverage="0" bottom="0" percent="0" rank="0" text="" dxfId="2">
      <formula>100</formula>
      <formula>125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8"/>
    <col collapsed="false" customWidth="true" hidden="false" outlineLevel="0" max="3" min="3" style="1" width="26"/>
    <col collapsed="false" customWidth="true" hidden="false" outlineLevel="0" max="4" min="4" style="1" width="2"/>
    <col collapsed="false" customWidth="true" hidden="false" outlineLevel="0" max="5" min="5" style="1" width="60"/>
  </cols>
  <sheetData>
    <row r="2" customFormat="false" ht="25.5" hidden="false" customHeight="true" outlineLevel="0" collapsed="false">
      <c r="B2" s="13" t="s">
        <v>46</v>
      </c>
      <c r="C2" s="13"/>
      <c r="D2" s="13"/>
      <c r="E2" s="13"/>
    </row>
    <row r="3" customFormat="false" ht="15" hidden="false" customHeight="true" outlineLevel="0" collapsed="false">
      <c r="B3" s="35" t="s">
        <v>47</v>
      </c>
      <c r="C3" s="35"/>
      <c r="D3" s="35"/>
      <c r="E3" s="35"/>
    </row>
    <row r="5" customFormat="false" ht="21.75" hidden="false" customHeight="true" outlineLevel="0" collapsed="false">
      <c r="B5" s="36" t="s">
        <v>37</v>
      </c>
      <c r="C5" s="37" t="n">
        <f aca="true">TODAY()</f>
        <v>46145</v>
      </c>
      <c r="E5" s="38" t="s">
        <v>48</v>
      </c>
    </row>
    <row r="6" customFormat="false" ht="21.75" hidden="false" customHeight="true" outlineLevel="0" collapsed="false">
      <c r="B6" s="36" t="s">
        <v>38</v>
      </c>
      <c r="C6" s="39"/>
      <c r="E6" s="38"/>
    </row>
    <row r="7" customFormat="false" ht="21.75" hidden="false" customHeight="true" outlineLevel="0" collapsed="false">
      <c r="B7" s="36" t="s">
        <v>39</v>
      </c>
      <c r="C7" s="40"/>
      <c r="E7" s="38"/>
    </row>
    <row r="8" customFormat="false" ht="21.75" hidden="false" customHeight="true" outlineLevel="0" collapsed="false">
      <c r="B8" s="36" t="s">
        <v>49</v>
      </c>
      <c r="C8" s="41"/>
      <c r="E8" s="38"/>
    </row>
    <row r="9" customFormat="false" ht="21.75" hidden="false" customHeight="true" outlineLevel="0" collapsed="false">
      <c r="B9" s="36" t="s">
        <v>50</v>
      </c>
      <c r="C9" s="41"/>
      <c r="E9" s="38"/>
    </row>
    <row r="10" customFormat="false" ht="21.75" hidden="false" customHeight="true" outlineLevel="0" collapsed="false">
      <c r="B10" s="36" t="s">
        <v>51</v>
      </c>
      <c r="C10" s="42"/>
      <c r="E10" s="38"/>
    </row>
    <row r="11" customFormat="false" ht="21.75" hidden="false" customHeight="true" outlineLevel="0" collapsed="false">
      <c r="B11" s="36" t="s">
        <v>52</v>
      </c>
      <c r="C11" s="42"/>
    </row>
    <row r="12" customFormat="false" ht="21.75" hidden="false" customHeight="true" outlineLevel="0" collapsed="false">
      <c r="B12" s="36" t="s">
        <v>53</v>
      </c>
      <c r="C12" s="43"/>
    </row>
    <row r="13" customFormat="false" ht="21.75" hidden="false" customHeight="true" outlineLevel="0" collapsed="false">
      <c r="B13" s="36" t="s">
        <v>54</v>
      </c>
      <c r="C13" s="43"/>
    </row>
    <row r="14" customFormat="false" ht="21.75" hidden="false" customHeight="true" outlineLevel="0" collapsed="false">
      <c r="B14" s="36" t="s">
        <v>55</v>
      </c>
      <c r="C14" s="44"/>
    </row>
    <row r="15" customFormat="false" ht="21.75" hidden="false" customHeight="true" outlineLevel="0" collapsed="false">
      <c r="B15" s="36" t="s">
        <v>56</v>
      </c>
      <c r="C15" s="44"/>
    </row>
    <row r="16" customFormat="false" ht="21.75" hidden="false" customHeight="true" outlineLevel="0" collapsed="false">
      <c r="B16" s="36" t="s">
        <v>36</v>
      </c>
      <c r="C16" s="45"/>
    </row>
    <row r="17" customFormat="false" ht="21.75" hidden="false" customHeight="true" outlineLevel="0" collapsed="false">
      <c r="B17" s="36" t="s">
        <v>45</v>
      </c>
      <c r="C17" s="45"/>
    </row>
    <row r="19" customFormat="false" ht="15" hidden="false" customHeight="true" outlineLevel="0" collapsed="false">
      <c r="B19" s="12" t="s">
        <v>57</v>
      </c>
      <c r="C19" s="46" t="str">
        <f aca="false">IF(SUM(C8,C10,C12,C14)=0,"",SUM(C8,C10,C12,C14))</f>
        <v/>
      </c>
    </row>
    <row r="20" customFormat="false" ht="15" hidden="false" customHeight="true" outlineLevel="0" collapsed="false">
      <c r="B20" s="12" t="s">
        <v>58</v>
      </c>
      <c r="C20" s="46" t="str">
        <f aca="false">IF(SUM(C9,C11,C13,C15)=0,"",SUM(C9,C11,C13,C15))</f>
        <v/>
      </c>
    </row>
  </sheetData>
  <mergeCells count="3">
    <mergeCell ref="B2:E2"/>
    <mergeCell ref="B3:E3"/>
    <mergeCell ref="E5:E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8" min="6" style="1" width="14"/>
  </cols>
  <sheetData>
    <row r="1" customFormat="false" ht="25.5" hidden="false" customHeight="true" outlineLevel="0" collapsed="false">
      <c r="A1" s="47" t="s">
        <v>59</v>
      </c>
      <c r="B1" s="47"/>
      <c r="C1" s="47"/>
      <c r="D1" s="47"/>
      <c r="E1" s="47"/>
      <c r="F1" s="47"/>
      <c r="G1" s="47"/>
      <c r="H1" s="47"/>
    </row>
    <row r="3" customFormat="false" ht="15.75" hidden="false" customHeight="true" outlineLevel="0" collapsed="false">
      <c r="A3" s="4" t="s">
        <v>60</v>
      </c>
      <c r="D3" s="4" t="s">
        <v>61</v>
      </c>
    </row>
    <row r="4" customFormat="false" ht="27.75" hidden="false" customHeight="true" outlineLevel="0" collapsed="false">
      <c r="A4" s="36" t="s">
        <v>62</v>
      </c>
      <c r="B4" s="48" t="n">
        <f aca="false">SUMPRODUCT(--(('Daily Log'!B4:B93&lt;&gt;"")+('Daily Log'!C4:C93&lt;&gt;"")&gt;0))</f>
        <v>0</v>
      </c>
      <c r="D4" s="21" t="s">
        <v>63</v>
      </c>
      <c r="E4" s="21" t="s">
        <v>64</v>
      </c>
      <c r="F4" s="21" t="s">
        <v>65</v>
      </c>
      <c r="G4" s="21" t="s">
        <v>66</v>
      </c>
      <c r="H4" s="21" t="s">
        <v>67</v>
      </c>
    </row>
    <row r="5" customFormat="false" ht="15" hidden="false" customHeight="true" outlineLevel="0" collapsed="false">
      <c r="A5" s="36" t="s">
        <v>64</v>
      </c>
      <c r="B5" s="49" t="str">
        <f aca="false">IFERROR(AVERAGE('Daily Log'!B4:B93),"")</f>
        <v/>
      </c>
      <c r="D5" s="50" t="n">
        <v>46139</v>
      </c>
      <c r="E5" s="23" t="str">
        <f aca="false">IFERROR(AVERAGEIFS('Daily Log'!$B$4:$B$93,'Daily Log'!$A$4:$A$93,"&gt;="&amp;D5,'Daily Log'!$A$4:$A$93,"&lt;="&amp;D5+6),"")</f>
        <v/>
      </c>
      <c r="F5" s="24" t="str">
        <f aca="false">IFERROR(AVERAGEIFS('Daily Log'!$C$4:$C$93,'Daily Log'!$A$4:$A$93,"&gt;="&amp;D5,'Daily Log'!$A$4:$A$93,"&lt;="&amp;D5+6),"")</f>
        <v/>
      </c>
      <c r="G5" s="24" t="str">
        <f aca="false">IFERROR(AVERAGEIFS('Daily Log'!$L$4:$L$93,'Daily Log'!$A$4:$A$93,"&gt;="&amp;D5,'Daily Log'!$A$4:$A$93,"&lt;="&amp;D5+6),"")</f>
        <v/>
      </c>
      <c r="H5" s="24" t="str">
        <f aca="false">IFERROR(AVERAGEIFS('Daily Log'!$M$4:$M$93,'Daily Log'!$A$4:$A$93,"&gt;="&amp;D5,'Daily Log'!$A$4:$A$93,"&lt;="&amp;D5+6),"")</f>
        <v/>
      </c>
    </row>
    <row r="6" customFormat="false" ht="15" hidden="false" customHeight="true" outlineLevel="0" collapsed="false">
      <c r="A6" s="36" t="s">
        <v>68</v>
      </c>
      <c r="B6" s="49" t="str">
        <f aca="false">IFERROR(LOOKUP(2,1/('Daily Log'!B4:B93&lt;&gt;""),'Daily Log'!B4:B93),"")</f>
        <v/>
      </c>
      <c r="D6" s="51" t="n">
        <v>46146</v>
      </c>
      <c r="E6" s="32" t="str">
        <f aca="false">IFERROR(AVERAGEIFS('Daily Log'!$B$4:$B$93,'Daily Log'!$A$4:$A$93,"&gt;="&amp;D6,'Daily Log'!$A$4:$A$93,"&lt;="&amp;D6+6),"")</f>
        <v/>
      </c>
      <c r="F6" s="33" t="str">
        <f aca="false">IFERROR(AVERAGEIFS('Daily Log'!$C$4:$C$93,'Daily Log'!$A$4:$A$93,"&gt;="&amp;D6,'Daily Log'!$A$4:$A$93,"&lt;="&amp;D6+6),"")</f>
        <v/>
      </c>
      <c r="G6" s="33" t="str">
        <f aca="false">IFERROR(AVERAGEIFS('Daily Log'!$L$4:$L$93,'Daily Log'!$A$4:$A$93,"&gt;="&amp;D6,'Daily Log'!$A$4:$A$93,"&lt;="&amp;D6+6),"")</f>
        <v/>
      </c>
      <c r="H6" s="33" t="str">
        <f aca="false">IFERROR(AVERAGEIFS('Daily Log'!$M$4:$M$93,'Daily Log'!$A$4:$A$93,"&gt;="&amp;D6,'Daily Log'!$A$4:$A$93,"&lt;="&amp;D6+6),"")</f>
        <v/>
      </c>
    </row>
    <row r="7" customFormat="false" ht="15" hidden="false" customHeight="true" outlineLevel="0" collapsed="false">
      <c r="A7" s="36" t="s">
        <v>69</v>
      </c>
      <c r="B7" s="49" t="str">
        <f aca="false">IFERROR(INDEX('Daily Log'!B4:B93,MATCH(2,1/('Daily Log'!B4:B93&lt;&gt;"")))-INDEX('Daily Log'!B4:B93,MATCH(TRUE(),'Daily Log'!B4:B93&lt;&gt;"",0)),"")</f>
        <v/>
      </c>
      <c r="D7" s="50" t="n">
        <v>46153</v>
      </c>
      <c r="E7" s="23" t="str">
        <f aca="false">IFERROR(AVERAGEIFS('Daily Log'!$B$4:$B$93,'Daily Log'!$A$4:$A$93,"&gt;="&amp;D7,'Daily Log'!$A$4:$A$93,"&lt;="&amp;D7+6),"")</f>
        <v/>
      </c>
      <c r="F7" s="24" t="str">
        <f aca="false">IFERROR(AVERAGEIFS('Daily Log'!$C$4:$C$93,'Daily Log'!$A$4:$A$93,"&gt;="&amp;D7,'Daily Log'!$A$4:$A$93,"&lt;="&amp;D7+6),"")</f>
        <v/>
      </c>
      <c r="G7" s="24" t="str">
        <f aca="false">IFERROR(AVERAGEIFS('Daily Log'!$L$4:$L$93,'Daily Log'!$A$4:$A$93,"&gt;="&amp;D7,'Daily Log'!$A$4:$A$93,"&lt;="&amp;D7+6),"")</f>
        <v/>
      </c>
      <c r="H7" s="24" t="str">
        <f aca="false">IFERROR(AVERAGEIFS('Daily Log'!$M$4:$M$93,'Daily Log'!$A$4:$A$93,"&gt;="&amp;D7,'Daily Log'!$A$4:$A$93,"&lt;="&amp;D7+6),"")</f>
        <v/>
      </c>
    </row>
    <row r="8" customFormat="false" ht="15" hidden="false" customHeight="true" outlineLevel="0" collapsed="false">
      <c r="A8" s="36" t="s">
        <v>65</v>
      </c>
      <c r="B8" s="48" t="str">
        <f aca="false">IFERROR(AVERAGE('Daily Log'!C4:C93),"")</f>
        <v/>
      </c>
      <c r="D8" s="51" t="n">
        <v>46160</v>
      </c>
      <c r="E8" s="32" t="str">
        <f aca="false">IFERROR(AVERAGEIFS('Daily Log'!$B$4:$B$93,'Daily Log'!$A$4:$A$93,"&gt;="&amp;D8,'Daily Log'!$A$4:$A$93,"&lt;="&amp;D8+6),"")</f>
        <v/>
      </c>
      <c r="F8" s="33" t="str">
        <f aca="false">IFERROR(AVERAGEIFS('Daily Log'!$C$4:$C$93,'Daily Log'!$A$4:$A$93,"&gt;="&amp;D8,'Daily Log'!$A$4:$A$93,"&lt;="&amp;D8+6),"")</f>
        <v/>
      </c>
      <c r="G8" s="33" t="str">
        <f aca="false">IFERROR(AVERAGEIFS('Daily Log'!$L$4:$L$93,'Daily Log'!$A$4:$A$93,"&gt;="&amp;D8,'Daily Log'!$A$4:$A$93,"&lt;="&amp;D8+6),"")</f>
        <v/>
      </c>
      <c r="H8" s="33" t="str">
        <f aca="false">IFERROR(AVERAGEIFS('Daily Log'!$M$4:$M$93,'Daily Log'!$A$4:$A$93,"&gt;="&amp;D8,'Daily Log'!$A$4:$A$93,"&lt;="&amp;D8+6),"")</f>
        <v/>
      </c>
    </row>
    <row r="9" customFormat="false" ht="15" hidden="false" customHeight="true" outlineLevel="0" collapsed="false">
      <c r="A9" s="36" t="s">
        <v>70</v>
      </c>
      <c r="B9" s="48" t="str">
        <f aca="false">IFERROR(AVERAGE('Daily Log'!L4:L93),"")</f>
        <v/>
      </c>
      <c r="D9" s="50" t="n">
        <v>46167</v>
      </c>
      <c r="E9" s="23" t="str">
        <f aca="false">IFERROR(AVERAGEIFS('Daily Log'!$B$4:$B$93,'Daily Log'!$A$4:$A$93,"&gt;="&amp;D9,'Daily Log'!$A$4:$A$93,"&lt;="&amp;D9+6),"")</f>
        <v/>
      </c>
      <c r="F9" s="24" t="str">
        <f aca="false">IFERROR(AVERAGEIFS('Daily Log'!$C$4:$C$93,'Daily Log'!$A$4:$A$93,"&gt;="&amp;D9,'Daily Log'!$A$4:$A$93,"&lt;="&amp;D9+6),"")</f>
        <v/>
      </c>
      <c r="G9" s="24" t="str">
        <f aca="false">IFERROR(AVERAGEIFS('Daily Log'!$L$4:$L$93,'Daily Log'!$A$4:$A$93,"&gt;="&amp;D9,'Daily Log'!$A$4:$A$93,"&lt;="&amp;D9+6),"")</f>
        <v/>
      </c>
      <c r="H9" s="24" t="str">
        <f aca="false">IFERROR(AVERAGEIFS('Daily Log'!$M$4:$M$93,'Daily Log'!$A$4:$A$93,"&gt;="&amp;D9,'Daily Log'!$A$4:$A$93,"&lt;="&amp;D9+6),"")</f>
        <v/>
      </c>
    </row>
    <row r="10" customFormat="false" ht="15" hidden="false" customHeight="true" outlineLevel="0" collapsed="false">
      <c r="A10" s="36" t="s">
        <v>71</v>
      </c>
      <c r="B10" s="48" t="str">
        <f aca="false">IFERROR(AVERAGE('Daily Log'!M4:M93),"")</f>
        <v/>
      </c>
      <c r="D10" s="51" t="n">
        <v>46174</v>
      </c>
      <c r="E10" s="32" t="str">
        <f aca="false">IFERROR(AVERAGEIFS('Daily Log'!$B$4:$B$93,'Daily Log'!$A$4:$A$93,"&gt;="&amp;D10,'Daily Log'!$A$4:$A$93,"&lt;="&amp;D10+6),"")</f>
        <v/>
      </c>
      <c r="F10" s="33" t="str">
        <f aca="false">IFERROR(AVERAGEIFS('Daily Log'!$C$4:$C$93,'Daily Log'!$A$4:$A$93,"&gt;="&amp;D10,'Daily Log'!$A$4:$A$93,"&lt;="&amp;D10+6),"")</f>
        <v/>
      </c>
      <c r="G10" s="33" t="str">
        <f aca="false">IFERROR(AVERAGEIFS('Daily Log'!$L$4:$L$93,'Daily Log'!$A$4:$A$93,"&gt;="&amp;D10,'Daily Log'!$A$4:$A$93,"&lt;="&amp;D10+6),"")</f>
        <v/>
      </c>
      <c r="H10" s="33" t="str">
        <f aca="false">IFERROR(AVERAGEIFS('Daily Log'!$M$4:$M$93,'Daily Log'!$A$4:$A$93,"&gt;="&amp;D10,'Daily Log'!$A$4:$A$93,"&lt;="&amp;D10+6),"")</f>
        <v/>
      </c>
    </row>
    <row r="11" customFormat="false" ht="15" hidden="false" customHeight="true" outlineLevel="0" collapsed="false">
      <c r="D11" s="50" t="n">
        <v>46181</v>
      </c>
      <c r="E11" s="23" t="str">
        <f aca="false">IFERROR(AVERAGEIFS('Daily Log'!$B$4:$B$93,'Daily Log'!$A$4:$A$93,"&gt;="&amp;D11,'Daily Log'!$A$4:$A$93,"&lt;="&amp;D11+6),"")</f>
        <v/>
      </c>
      <c r="F11" s="24" t="str">
        <f aca="false">IFERROR(AVERAGEIFS('Daily Log'!$C$4:$C$93,'Daily Log'!$A$4:$A$93,"&gt;="&amp;D11,'Daily Log'!$A$4:$A$93,"&lt;="&amp;D11+6),"")</f>
        <v/>
      </c>
      <c r="G11" s="24" t="str">
        <f aca="false">IFERROR(AVERAGEIFS('Daily Log'!$L$4:$L$93,'Daily Log'!$A$4:$A$93,"&gt;="&amp;D11,'Daily Log'!$A$4:$A$93,"&lt;="&amp;D11+6),"")</f>
        <v/>
      </c>
      <c r="H11" s="24" t="str">
        <f aca="false">IFERROR(AVERAGEIFS('Daily Log'!$M$4:$M$93,'Daily Log'!$A$4:$A$93,"&gt;="&amp;D11,'Daily Log'!$A$4:$A$93,"&lt;="&amp;D11+6),"")</f>
        <v/>
      </c>
    </row>
    <row r="12" customFormat="false" ht="15" hidden="false" customHeight="true" outlineLevel="0" collapsed="false">
      <c r="D12" s="51" t="n">
        <v>46188</v>
      </c>
      <c r="E12" s="32" t="str">
        <f aca="false">IFERROR(AVERAGEIFS('Daily Log'!$B$4:$B$93,'Daily Log'!$A$4:$A$93,"&gt;="&amp;D12,'Daily Log'!$A$4:$A$93,"&lt;="&amp;D12+6),"")</f>
        <v/>
      </c>
      <c r="F12" s="33" t="str">
        <f aca="false">IFERROR(AVERAGEIFS('Daily Log'!$C$4:$C$93,'Daily Log'!$A$4:$A$93,"&gt;="&amp;D12,'Daily Log'!$A$4:$A$93,"&lt;="&amp;D12+6),"")</f>
        <v/>
      </c>
      <c r="G12" s="33" t="str">
        <f aca="false">IFERROR(AVERAGEIFS('Daily Log'!$L$4:$L$93,'Daily Log'!$A$4:$A$93,"&gt;="&amp;D12,'Daily Log'!$A$4:$A$93,"&lt;="&amp;D12+6),"")</f>
        <v/>
      </c>
      <c r="H12" s="33" t="str">
        <f aca="false">IFERROR(AVERAGEIFS('Daily Log'!$M$4:$M$93,'Daily Log'!$A$4:$A$93,"&gt;="&amp;D12,'Daily Log'!$A$4:$A$93,"&lt;="&amp;D12+6),"")</f>
        <v/>
      </c>
    </row>
    <row r="13" customFormat="false" ht="15" hidden="false" customHeight="true" outlineLevel="0" collapsed="false">
      <c r="D13" s="50" t="n">
        <v>46195</v>
      </c>
      <c r="E13" s="23" t="str">
        <f aca="false">IFERROR(AVERAGEIFS('Daily Log'!$B$4:$B$93,'Daily Log'!$A$4:$A$93,"&gt;="&amp;D13,'Daily Log'!$A$4:$A$93,"&lt;="&amp;D13+6),"")</f>
        <v/>
      </c>
      <c r="F13" s="24" t="str">
        <f aca="false">IFERROR(AVERAGEIFS('Daily Log'!$C$4:$C$93,'Daily Log'!$A$4:$A$93,"&gt;="&amp;D13,'Daily Log'!$A$4:$A$93,"&lt;="&amp;D13+6),"")</f>
        <v/>
      </c>
      <c r="G13" s="24" t="str">
        <f aca="false">IFERROR(AVERAGEIFS('Daily Log'!$L$4:$L$93,'Daily Log'!$A$4:$A$93,"&gt;="&amp;D13,'Daily Log'!$A$4:$A$93,"&lt;="&amp;D13+6),"")</f>
        <v/>
      </c>
      <c r="H13" s="24" t="str">
        <f aca="false">IFERROR(AVERAGEIFS('Daily Log'!$M$4:$M$93,'Daily Log'!$A$4:$A$93,"&gt;="&amp;D13,'Daily Log'!$A$4:$A$93,"&lt;="&amp;D13+6),"")</f>
        <v/>
      </c>
    </row>
    <row r="14" customFormat="false" ht="15" hidden="false" customHeight="true" outlineLevel="0" collapsed="false">
      <c r="D14" s="51" t="n">
        <v>46202</v>
      </c>
      <c r="E14" s="32" t="str">
        <f aca="false">IFERROR(AVERAGEIFS('Daily Log'!$B$4:$B$93,'Daily Log'!$A$4:$A$93,"&gt;="&amp;D14,'Daily Log'!$A$4:$A$93,"&lt;="&amp;D14+6),"")</f>
        <v/>
      </c>
      <c r="F14" s="33" t="str">
        <f aca="false">IFERROR(AVERAGEIFS('Daily Log'!$C$4:$C$93,'Daily Log'!$A$4:$A$93,"&gt;="&amp;D14,'Daily Log'!$A$4:$A$93,"&lt;="&amp;D14+6),"")</f>
        <v/>
      </c>
      <c r="G14" s="33" t="str">
        <f aca="false">IFERROR(AVERAGEIFS('Daily Log'!$L$4:$L$93,'Daily Log'!$A$4:$A$93,"&gt;="&amp;D14,'Daily Log'!$A$4:$A$93,"&lt;="&amp;D14+6),"")</f>
        <v/>
      </c>
      <c r="H14" s="33" t="str">
        <f aca="false">IFERROR(AVERAGEIFS('Daily Log'!$M$4:$M$93,'Daily Log'!$A$4:$A$93,"&gt;="&amp;D14,'Daily Log'!$A$4:$A$93,"&lt;="&amp;D14+6),"")</f>
        <v/>
      </c>
    </row>
    <row r="15" customFormat="false" ht="15" hidden="false" customHeight="true" outlineLevel="0" collapsed="false">
      <c r="D15" s="50" t="n">
        <v>46209</v>
      </c>
      <c r="E15" s="23" t="str">
        <f aca="false">IFERROR(AVERAGEIFS('Daily Log'!$B$4:$B$93,'Daily Log'!$A$4:$A$93,"&gt;="&amp;D15,'Daily Log'!$A$4:$A$93,"&lt;="&amp;D15+6),"")</f>
        <v/>
      </c>
      <c r="F15" s="24" t="str">
        <f aca="false">IFERROR(AVERAGEIFS('Daily Log'!$C$4:$C$93,'Daily Log'!$A$4:$A$93,"&gt;="&amp;D15,'Daily Log'!$A$4:$A$93,"&lt;="&amp;D15+6),"")</f>
        <v/>
      </c>
      <c r="G15" s="24" t="str">
        <f aca="false">IFERROR(AVERAGEIFS('Daily Log'!$L$4:$L$93,'Daily Log'!$A$4:$A$93,"&gt;="&amp;D15,'Daily Log'!$A$4:$A$93,"&lt;="&amp;D15+6),"")</f>
        <v/>
      </c>
      <c r="H15" s="24" t="str">
        <f aca="false">IFERROR(AVERAGEIFS('Daily Log'!$M$4:$M$93,'Daily Log'!$A$4:$A$93,"&gt;="&amp;D15,'Daily Log'!$A$4:$A$93,"&lt;="&amp;D15+6),"")</f>
        <v/>
      </c>
    </row>
    <row r="16" customFormat="false" ht="15" hidden="false" customHeight="true" outlineLevel="0" collapsed="false">
      <c r="D16" s="51" t="n">
        <v>46216</v>
      </c>
      <c r="E16" s="32" t="str">
        <f aca="false">IFERROR(AVERAGEIFS('Daily Log'!$B$4:$B$93,'Daily Log'!$A$4:$A$93,"&gt;="&amp;D16,'Daily Log'!$A$4:$A$93,"&lt;="&amp;D16+6),"")</f>
        <v/>
      </c>
      <c r="F16" s="33" t="str">
        <f aca="false">IFERROR(AVERAGEIFS('Daily Log'!$C$4:$C$93,'Daily Log'!$A$4:$A$93,"&gt;="&amp;D16,'Daily Log'!$A$4:$A$93,"&lt;="&amp;D16+6),"")</f>
        <v/>
      </c>
      <c r="G16" s="33" t="str">
        <f aca="false">IFERROR(AVERAGEIFS('Daily Log'!$L$4:$L$93,'Daily Log'!$A$4:$A$93,"&gt;="&amp;D16,'Daily Log'!$A$4:$A$93,"&lt;="&amp;D16+6),"")</f>
        <v/>
      </c>
      <c r="H16" s="33" t="str">
        <f aca="false">IFERROR(AVERAGEIFS('Daily Log'!$M$4:$M$93,'Daily Log'!$A$4:$A$93,"&gt;="&amp;D16,'Daily Log'!$A$4:$A$93,"&lt;="&amp;D16+6),"")</f>
        <v/>
      </c>
    </row>
    <row r="17" customFormat="false" ht="15" hidden="false" customHeight="true" outlineLevel="0" collapsed="false">
      <c r="D17" s="50" t="n">
        <v>46223</v>
      </c>
      <c r="E17" s="23" t="str">
        <f aca="false">IFERROR(AVERAGEIFS('Daily Log'!$B$4:$B$93,'Daily Log'!$A$4:$A$93,"&gt;="&amp;D17,'Daily Log'!$A$4:$A$93,"&lt;="&amp;D17+6),"")</f>
        <v/>
      </c>
      <c r="F17" s="24" t="str">
        <f aca="false">IFERROR(AVERAGEIFS('Daily Log'!$C$4:$C$93,'Daily Log'!$A$4:$A$93,"&gt;="&amp;D17,'Daily Log'!$A$4:$A$93,"&lt;="&amp;D17+6),"")</f>
        <v/>
      </c>
      <c r="G17" s="24" t="str">
        <f aca="false">IFERROR(AVERAGEIFS('Daily Log'!$L$4:$L$93,'Daily Log'!$A$4:$A$93,"&gt;="&amp;D17,'Daily Log'!$A$4:$A$93,"&lt;="&amp;D17+6),"")</f>
        <v/>
      </c>
      <c r="H17" s="24" t="str">
        <f aca="false">IFERROR(AVERAGEIFS('Daily Log'!$M$4:$M$93,'Daily Log'!$A$4:$A$93,"&gt;="&amp;D17,'Daily Log'!$A$4:$A$93,"&lt;="&amp;D17+6),"")</f>
        <v/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2026-05-03T15:21:16Z</dcterms:created>
  <dc:creator>openpyxl</dc:creator>
  <dc:description/>
  <dc:language>en-US</dc:language>
  <cp:lastModifiedBy/>
  <dcterms:modified xsi:type="dcterms:W3CDTF">2026-05-03T15:22:19Z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